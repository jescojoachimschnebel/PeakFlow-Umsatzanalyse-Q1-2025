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Y:\JJS\Weiterbildung\MSIT GmbH_KI-Lehrgang\01_Datenkompetenz &amp; Tabellenkalkulation\Prüfung\"/>
    </mc:Choice>
  </mc:AlternateContent>
  <xr:revisionPtr revIDLastSave="0" documentId="13_ncr:1_{4EB4E767-F891-434D-8D0E-C01B8A91D7AB}" xr6:coauthVersionLast="47" xr6:coauthVersionMax="47" xr10:uidLastSave="{00000000-0000-0000-0000-000000000000}"/>
  <bookViews>
    <workbookView xWindow="-38510" yWindow="-50" windowWidth="38620" windowHeight="21100" activeTab="2" xr2:uid="{00000000-000D-0000-FFFF-FFFF00000000}"/>
  </bookViews>
  <sheets>
    <sheet name="peakflow_q1_2025_dirty" sheetId="1" r:id="rId1"/>
    <sheet name="Datensätze" sheetId="2" r:id="rId2"/>
    <sheet name="Zusammenfassung" sheetId="3" r:id="rId3"/>
    <sheet name="Pivot-Tabellen" sheetId="4" r:id="rId4"/>
    <sheet name="Top-Performer" sheetId="5" r:id="rId5"/>
    <sheet name="Diagramme" sheetId="6" r:id="rId6"/>
    <sheet name="README" sheetId="7" r:id="rId7"/>
  </sheets>
  <definedNames>
    <definedName name="_xlnm._FilterDatabase" localSheetId="1" hidden="1">Datensätze!$A$1:$O$252</definedName>
    <definedName name="_xlnm._FilterDatabase" localSheetId="2" hidden="1">Zusammenfassung!$A$99:$Z$349</definedName>
    <definedName name="_xlchart.v1.0" hidden="1">Zusammenfassung!$J$100:$J$349</definedName>
    <definedName name="_xlchart.v1.1" hidden="1">Zusammenfassung!$J$99</definedName>
    <definedName name="_xlchart.v1.2" hidden="1">Zusammenfassung!$J$100:$J$349</definedName>
    <definedName name="_xlchart.v1.3" hidden="1">Zusammenfassung!$J$99</definedName>
    <definedName name="_xlchart.v1.4" hidden="1">Zusammenfassung!$J$100:$J$349</definedName>
    <definedName name="_xlchart.v1.5" hidden="1">Zusammenfassung!$J$99</definedName>
  </definedNames>
  <calcPr calcId="191029"/>
  <pivotCaches>
    <pivotCache cacheId="18"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0" i="3" l="1" a="1"/>
  <c r="F70" i="3" s="1"/>
  <c r="F71" i="3" a="1"/>
  <c r="F71" i="3" s="1"/>
  <c r="F72" i="3" a="1"/>
  <c r="F72" i="3" s="1"/>
  <c r="F69" i="3" a="1"/>
  <c r="F69" i="3" s="1"/>
  <c r="E70" i="3" a="1"/>
  <c r="E70" i="3" s="1"/>
  <c r="E71" i="3" a="1"/>
  <c r="E71" i="3" s="1"/>
  <c r="E72" i="3" a="1"/>
  <c r="E72" i="3" s="1"/>
  <c r="E69" i="3" a="1"/>
  <c r="E69" i="3" s="1"/>
  <c r="D70" i="3" a="1"/>
  <c r="D70" i="3" s="1"/>
  <c r="D71" i="3" a="1"/>
  <c r="D71" i="3" s="1"/>
  <c r="D72" i="3" a="1"/>
  <c r="D72" i="3" s="1"/>
  <c r="D69" i="3" a="1"/>
  <c r="D69" i="3" s="1"/>
  <c r="C70" i="3" a="1"/>
  <c r="C70" i="3" s="1"/>
  <c r="C71" i="3" a="1"/>
  <c r="C71" i="3" s="1"/>
  <c r="C72" i="3" a="1"/>
  <c r="C72" i="3" s="1"/>
  <c r="C69" i="3" a="1"/>
  <c r="C69" i="3" s="1"/>
  <c r="B70" i="3" a="1"/>
  <c r="B70" i="3" s="1"/>
  <c r="B71" i="3" a="1"/>
  <c r="B71" i="3" s="1"/>
  <c r="B72" i="3" a="1"/>
  <c r="B72" i="3" s="1"/>
  <c r="B69" i="3" a="1"/>
  <c r="B69" i="3" s="1"/>
  <c r="B61" i="3"/>
  <c r="B62" i="3"/>
  <c r="B63" i="3"/>
  <c r="B64" i="3"/>
  <c r="B60" i="3"/>
  <c r="B56" i="3"/>
  <c r="B55" i="3"/>
  <c r="B54" i="3"/>
  <c r="E40" i="3"/>
  <c r="E41" i="3"/>
  <c r="E42" i="3"/>
  <c r="E43" i="3"/>
  <c r="E44" i="3"/>
  <c r="E45" i="3"/>
  <c r="E46" i="3"/>
  <c r="E47" i="3"/>
  <c r="E48" i="3"/>
  <c r="E49" i="3"/>
  <c r="E50" i="3"/>
  <c r="E39" i="3"/>
  <c r="D40" i="3"/>
  <c r="D41" i="3"/>
  <c r="D42" i="3"/>
  <c r="D43" i="3"/>
  <c r="D44" i="3"/>
  <c r="D45" i="3"/>
  <c r="D46" i="3"/>
  <c r="D47" i="3"/>
  <c r="D48" i="3"/>
  <c r="D49" i="3"/>
  <c r="D50" i="3"/>
  <c r="D39" i="3"/>
  <c r="C40" i="3"/>
  <c r="C41" i="3"/>
  <c r="C42" i="3"/>
  <c r="C43" i="3"/>
  <c r="C44" i="3"/>
  <c r="C45" i="3"/>
  <c r="C46" i="3"/>
  <c r="C47" i="3"/>
  <c r="C48" i="3"/>
  <c r="C49" i="3"/>
  <c r="C50" i="3"/>
  <c r="C39" i="3"/>
  <c r="B40" i="3"/>
  <c r="B41" i="3"/>
  <c r="B42" i="3"/>
  <c r="B43" i="3"/>
  <c r="B44" i="3"/>
  <c r="B45" i="3"/>
  <c r="B46" i="3"/>
  <c r="B47" i="3"/>
  <c r="B48" i="3"/>
  <c r="B49" i="3"/>
  <c r="B50" i="3"/>
  <c r="B39" i="3"/>
  <c r="A39" i="3" a="1"/>
  <c r="A39" i="3" s="1"/>
  <c r="G23" i="3"/>
  <c r="G24" i="3"/>
  <c r="G25" i="3"/>
  <c r="G26" i="3"/>
  <c r="G27" i="3"/>
  <c r="G28" i="3"/>
  <c r="G29" i="3"/>
  <c r="G30" i="3"/>
  <c r="G31" i="3"/>
  <c r="G32" i="3"/>
  <c r="G33" i="3"/>
  <c r="G22" i="3"/>
  <c r="F23" i="3"/>
  <c r="F24" i="3"/>
  <c r="F25" i="3"/>
  <c r="F26" i="3"/>
  <c r="F27" i="3"/>
  <c r="F28" i="3"/>
  <c r="F29" i="3"/>
  <c r="F30" i="3"/>
  <c r="F31" i="3"/>
  <c r="F32" i="3"/>
  <c r="F33" i="3"/>
  <c r="F22" i="3"/>
  <c r="E23" i="3"/>
  <c r="E24" i="3"/>
  <c r="E25" i="3"/>
  <c r="E26" i="3"/>
  <c r="E27" i="3"/>
  <c r="E28" i="3"/>
  <c r="E29" i="3"/>
  <c r="E30" i="3"/>
  <c r="E31" i="3"/>
  <c r="E32" i="3"/>
  <c r="E33" i="3"/>
  <c r="E22" i="3"/>
  <c r="D23" i="3"/>
  <c r="D24" i="3"/>
  <c r="D25" i="3"/>
  <c r="D26" i="3"/>
  <c r="D27" i="3"/>
  <c r="D28" i="3"/>
  <c r="D29" i="3"/>
  <c r="D30" i="3"/>
  <c r="D31" i="3"/>
  <c r="D32" i="3"/>
  <c r="D33" i="3"/>
  <c r="D22" i="3"/>
  <c r="C23" i="3"/>
  <c r="C24" i="3"/>
  <c r="C25" i="3"/>
  <c r="C26" i="3"/>
  <c r="C27" i="3"/>
  <c r="C28" i="3"/>
  <c r="C29" i="3"/>
  <c r="C30" i="3"/>
  <c r="C31" i="3"/>
  <c r="C32" i="3"/>
  <c r="C33" i="3"/>
  <c r="C22" i="3"/>
  <c r="B23" i="3"/>
  <c r="B24" i="3"/>
  <c r="B25" i="3"/>
  <c r="B26" i="3"/>
  <c r="B27" i="3"/>
  <c r="B28" i="3"/>
  <c r="B29" i="3"/>
  <c r="B30" i="3"/>
  <c r="B31" i="3"/>
  <c r="B32" i="3"/>
  <c r="B33" i="3"/>
  <c r="B22" i="3"/>
  <c r="B21" i="3" a="1"/>
  <c r="B21" i="3" s="1"/>
  <c r="A22" i="3" a="1"/>
  <c r="A22" i="3" s="1"/>
  <c r="O3" i="2"/>
  <c r="O4" i="2"/>
  <c r="O5" i="2"/>
  <c r="O6" i="2"/>
  <c r="O7" i="2"/>
  <c r="O8" i="2"/>
  <c r="O9" i="2"/>
  <c r="O10" i="2"/>
  <c r="O11" i="2"/>
  <c r="O12" i="2"/>
  <c r="O13" i="2"/>
  <c r="O14" i="2"/>
  <c r="O15" i="2"/>
  <c r="O16" i="2"/>
  <c r="O17" i="2"/>
  <c r="O18" i="2"/>
  <c r="O19" i="2"/>
  <c r="J117" i="3" s="1"/>
  <c r="O20" i="2"/>
  <c r="O21" i="2"/>
  <c r="O22" i="2"/>
  <c r="O23" i="2"/>
  <c r="O24" i="2"/>
  <c r="O25" i="2"/>
  <c r="O26" i="2"/>
  <c r="J124" i="3" s="1"/>
  <c r="O27" i="2"/>
  <c r="O28" i="2"/>
  <c r="O29" i="2"/>
  <c r="O30" i="2"/>
  <c r="O31" i="2"/>
  <c r="O32" i="2"/>
  <c r="O33" i="2"/>
  <c r="O34" i="2"/>
  <c r="O35" i="2"/>
  <c r="O36" i="2"/>
  <c r="O37" i="2"/>
  <c r="O38" i="2"/>
  <c r="O39" i="2"/>
  <c r="O40" i="2"/>
  <c r="O41" i="2"/>
  <c r="O42" i="2"/>
  <c r="O43" i="2"/>
  <c r="J141" i="3" s="1"/>
  <c r="O44" i="2"/>
  <c r="O45" i="2"/>
  <c r="O46" i="2"/>
  <c r="O47" i="2"/>
  <c r="O48" i="2"/>
  <c r="O49" i="2"/>
  <c r="O50" i="2"/>
  <c r="J148" i="3" s="1"/>
  <c r="O51" i="2"/>
  <c r="O52" i="2"/>
  <c r="O53" i="2"/>
  <c r="O54" i="2"/>
  <c r="O55" i="2"/>
  <c r="O56" i="2"/>
  <c r="O57" i="2"/>
  <c r="O58" i="2"/>
  <c r="O59" i="2"/>
  <c r="O60" i="2"/>
  <c r="O61" i="2"/>
  <c r="O62" i="2"/>
  <c r="O63" i="2"/>
  <c r="O64" i="2"/>
  <c r="O65" i="2"/>
  <c r="O66" i="2"/>
  <c r="O67" i="2"/>
  <c r="J165" i="3" s="1"/>
  <c r="O68" i="2"/>
  <c r="O69" i="2"/>
  <c r="O70" i="2"/>
  <c r="O71" i="2"/>
  <c r="O72" i="2"/>
  <c r="O73" i="2"/>
  <c r="O74" i="2"/>
  <c r="J172" i="3" s="1"/>
  <c r="O75" i="2"/>
  <c r="O76" i="2"/>
  <c r="O77" i="2"/>
  <c r="O78" i="2"/>
  <c r="O79" i="2"/>
  <c r="O80" i="2"/>
  <c r="O81" i="2"/>
  <c r="O82" i="2"/>
  <c r="O83" i="2"/>
  <c r="O84" i="2"/>
  <c r="O85" i="2"/>
  <c r="O86" i="2"/>
  <c r="O87" i="2"/>
  <c r="O88" i="2"/>
  <c r="O89" i="2"/>
  <c r="O90" i="2"/>
  <c r="O91" i="2"/>
  <c r="J189" i="3" s="1"/>
  <c r="O92" i="2"/>
  <c r="O93" i="2"/>
  <c r="O94" i="2"/>
  <c r="O95" i="2"/>
  <c r="O96" i="2"/>
  <c r="O97" i="2"/>
  <c r="O98" i="2"/>
  <c r="J196" i="3" s="1"/>
  <c r="O99" i="2"/>
  <c r="O100" i="2"/>
  <c r="O101" i="2"/>
  <c r="O102" i="2"/>
  <c r="O103" i="2"/>
  <c r="O104" i="2"/>
  <c r="O105" i="2"/>
  <c r="O106" i="2"/>
  <c r="O107" i="2"/>
  <c r="O108" i="2"/>
  <c r="O109" i="2"/>
  <c r="O110" i="2"/>
  <c r="O111" i="2"/>
  <c r="O112" i="2"/>
  <c r="O113" i="2"/>
  <c r="O114" i="2"/>
  <c r="O115" i="2"/>
  <c r="J213" i="3" s="1"/>
  <c r="O116" i="2"/>
  <c r="O117" i="2"/>
  <c r="O118" i="2"/>
  <c r="O119" i="2"/>
  <c r="O120" i="2"/>
  <c r="O121" i="2"/>
  <c r="O122" i="2"/>
  <c r="J220" i="3" s="1"/>
  <c r="O123" i="2"/>
  <c r="O124" i="2"/>
  <c r="O125" i="2"/>
  <c r="O126" i="2"/>
  <c r="O127" i="2"/>
  <c r="O128" i="2"/>
  <c r="O129" i="2"/>
  <c r="O130" i="2"/>
  <c r="O131" i="2"/>
  <c r="O132" i="2"/>
  <c r="O133" i="2"/>
  <c r="O134" i="2"/>
  <c r="O135" i="2"/>
  <c r="O136" i="2"/>
  <c r="O137" i="2"/>
  <c r="O138" i="2"/>
  <c r="O139" i="2"/>
  <c r="J237" i="3" s="1"/>
  <c r="O140" i="2"/>
  <c r="O141" i="2"/>
  <c r="O142" i="2"/>
  <c r="O143" i="2"/>
  <c r="O144" i="2"/>
  <c r="O145" i="2"/>
  <c r="O146" i="2"/>
  <c r="J244" i="3" s="1"/>
  <c r="O147" i="2"/>
  <c r="O148" i="2"/>
  <c r="O149" i="2"/>
  <c r="O150" i="2"/>
  <c r="O151" i="2"/>
  <c r="O152" i="2"/>
  <c r="O153" i="2"/>
  <c r="O154" i="2"/>
  <c r="O155" i="2"/>
  <c r="O156" i="2"/>
  <c r="O157" i="2"/>
  <c r="O158" i="2"/>
  <c r="O159" i="2"/>
  <c r="O160" i="2"/>
  <c r="O161" i="2"/>
  <c r="O162" i="2"/>
  <c r="O163" i="2"/>
  <c r="J261" i="3" s="1"/>
  <c r="O164" i="2"/>
  <c r="O165" i="2"/>
  <c r="O166" i="2"/>
  <c r="O167" i="2"/>
  <c r="O168" i="2"/>
  <c r="O169" i="2"/>
  <c r="O170" i="2"/>
  <c r="J268" i="3" s="1"/>
  <c r="O171" i="2"/>
  <c r="O172" i="2"/>
  <c r="O173" i="2"/>
  <c r="O174" i="2"/>
  <c r="O175" i="2"/>
  <c r="O176" i="2"/>
  <c r="O177" i="2"/>
  <c r="O178" i="2"/>
  <c r="O179" i="2"/>
  <c r="O180" i="2"/>
  <c r="O181" i="2"/>
  <c r="O182" i="2"/>
  <c r="O183" i="2"/>
  <c r="O184" i="2"/>
  <c r="O185" i="2"/>
  <c r="O186" i="2"/>
  <c r="O187" i="2"/>
  <c r="J285" i="3" s="1"/>
  <c r="O188" i="2"/>
  <c r="O189" i="2"/>
  <c r="O190" i="2"/>
  <c r="O191" i="2"/>
  <c r="J289" i="3" s="1"/>
  <c r="O192" i="2"/>
  <c r="O193" i="2"/>
  <c r="O194" i="2"/>
  <c r="J292" i="3" s="1"/>
  <c r="O195" i="2"/>
  <c r="O196" i="2"/>
  <c r="O197" i="2"/>
  <c r="O198" i="2"/>
  <c r="O199" i="2"/>
  <c r="O200" i="2"/>
  <c r="O201" i="2"/>
  <c r="O202" i="2"/>
  <c r="O203" i="2"/>
  <c r="O204" i="2"/>
  <c r="O205" i="2"/>
  <c r="O206" i="2"/>
  <c r="O207" i="2"/>
  <c r="O208" i="2"/>
  <c r="O209" i="2"/>
  <c r="O210" i="2"/>
  <c r="O211" i="2"/>
  <c r="J309" i="3" s="1"/>
  <c r="O212" i="2"/>
  <c r="O213" i="2"/>
  <c r="O214" i="2"/>
  <c r="J312" i="3" s="1"/>
  <c r="O215" i="2"/>
  <c r="J313" i="3" s="1"/>
  <c r="O216" i="2"/>
  <c r="O217" i="2"/>
  <c r="O218" i="2"/>
  <c r="J316" i="3" s="1"/>
  <c r="O219" i="2"/>
  <c r="O220" i="2"/>
  <c r="O221" i="2"/>
  <c r="O222" i="2"/>
  <c r="O223" i="2"/>
  <c r="O224" i="2"/>
  <c r="O225" i="2"/>
  <c r="O226" i="2"/>
  <c r="O227" i="2"/>
  <c r="O228" i="2"/>
  <c r="O229" i="2"/>
  <c r="O230" i="2"/>
  <c r="O231" i="2"/>
  <c r="O232" i="2"/>
  <c r="O233" i="2"/>
  <c r="O234" i="2"/>
  <c r="O235" i="2"/>
  <c r="J333" i="3" s="1"/>
  <c r="O236" i="2"/>
  <c r="O237" i="2"/>
  <c r="O238" i="2"/>
  <c r="J336" i="3" s="1"/>
  <c r="O239" i="2"/>
  <c r="O240" i="2"/>
  <c r="O241" i="2"/>
  <c r="J339" i="3" s="1"/>
  <c r="O242" i="2"/>
  <c r="J340" i="3" s="1"/>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2" i="2"/>
  <c r="A363" i="3"/>
  <c r="A362" i="3"/>
  <c r="A361" i="3"/>
  <c r="A360" i="3"/>
  <c r="A359" i="3"/>
  <c r="A358" i="3"/>
  <c r="A357" i="3"/>
  <c r="A356" i="3"/>
  <c r="A355" i="3"/>
  <c r="A354" i="3"/>
  <c r="A353" i="3"/>
  <c r="A352" i="3"/>
  <c r="A351" i="3"/>
  <c r="A350" i="3"/>
  <c r="H349" i="3"/>
  <c r="F349" i="3"/>
  <c r="C349" i="3"/>
  <c r="B349" i="3"/>
  <c r="A349" i="3"/>
  <c r="H348" i="3"/>
  <c r="F348" i="3"/>
  <c r="E348" i="3"/>
  <c r="C348" i="3"/>
  <c r="B348" i="3"/>
  <c r="A348" i="3"/>
  <c r="I347" i="3"/>
  <c r="H347" i="3"/>
  <c r="F347" i="3"/>
  <c r="C347" i="3"/>
  <c r="B347" i="3"/>
  <c r="A347" i="3"/>
  <c r="H346" i="3"/>
  <c r="F346" i="3"/>
  <c r="C346" i="3"/>
  <c r="B346" i="3"/>
  <c r="A346" i="3"/>
  <c r="H345" i="3"/>
  <c r="F345" i="3"/>
  <c r="C345" i="3"/>
  <c r="B345" i="3"/>
  <c r="A345" i="3"/>
  <c r="H344" i="3"/>
  <c r="F344" i="3"/>
  <c r="C344" i="3"/>
  <c r="B344" i="3"/>
  <c r="A344" i="3"/>
  <c r="H343" i="3"/>
  <c r="F343" i="3"/>
  <c r="C343" i="3"/>
  <c r="B343" i="3"/>
  <c r="A343" i="3"/>
  <c r="H342" i="3"/>
  <c r="F342" i="3"/>
  <c r="C342" i="3"/>
  <c r="B342" i="3"/>
  <c r="A342" i="3"/>
  <c r="H341" i="3"/>
  <c r="F341" i="3"/>
  <c r="C341" i="3"/>
  <c r="B341" i="3"/>
  <c r="A341" i="3"/>
  <c r="I340" i="3"/>
  <c r="H340" i="3"/>
  <c r="F340" i="3"/>
  <c r="E340" i="3"/>
  <c r="C340" i="3"/>
  <c r="B340" i="3"/>
  <c r="A340" i="3"/>
  <c r="H339" i="3"/>
  <c r="F339" i="3"/>
  <c r="C339" i="3"/>
  <c r="B339" i="3"/>
  <c r="A339" i="3"/>
  <c r="I338" i="3"/>
  <c r="H338" i="3"/>
  <c r="F338" i="3"/>
  <c r="C338" i="3"/>
  <c r="B338" i="3"/>
  <c r="A338" i="3"/>
  <c r="H337" i="3"/>
  <c r="F337" i="3"/>
  <c r="C337" i="3"/>
  <c r="B337" i="3"/>
  <c r="A337" i="3"/>
  <c r="H336" i="3"/>
  <c r="F336" i="3"/>
  <c r="C336" i="3"/>
  <c r="B336" i="3"/>
  <c r="A336" i="3"/>
  <c r="H335" i="3"/>
  <c r="F335" i="3"/>
  <c r="C335" i="3"/>
  <c r="B335" i="3"/>
  <c r="A335" i="3"/>
  <c r="H334" i="3"/>
  <c r="F334" i="3"/>
  <c r="C334" i="3"/>
  <c r="B334" i="3"/>
  <c r="A334" i="3"/>
  <c r="H333" i="3"/>
  <c r="F333" i="3"/>
  <c r="E333" i="3"/>
  <c r="C333" i="3"/>
  <c r="B333" i="3"/>
  <c r="A333" i="3"/>
  <c r="H332" i="3"/>
  <c r="F332" i="3"/>
  <c r="C332" i="3"/>
  <c r="B332" i="3"/>
  <c r="A332" i="3"/>
  <c r="H331" i="3"/>
  <c r="F331" i="3"/>
  <c r="C331" i="3"/>
  <c r="B331" i="3"/>
  <c r="A331" i="3"/>
  <c r="I330" i="3"/>
  <c r="H330" i="3"/>
  <c r="F330" i="3"/>
  <c r="C330" i="3"/>
  <c r="B330" i="3"/>
  <c r="A330" i="3"/>
  <c r="H329" i="3"/>
  <c r="F329" i="3"/>
  <c r="C329" i="3"/>
  <c r="B329" i="3"/>
  <c r="A329" i="3"/>
  <c r="J328" i="3"/>
  <c r="I328" i="3"/>
  <c r="H328" i="3"/>
  <c r="F328" i="3"/>
  <c r="E328" i="3"/>
  <c r="C328" i="3"/>
  <c r="B328" i="3"/>
  <c r="A328" i="3"/>
  <c r="H327" i="3"/>
  <c r="F327" i="3"/>
  <c r="C327" i="3"/>
  <c r="B327" i="3"/>
  <c r="A327" i="3"/>
  <c r="H326" i="3"/>
  <c r="F326" i="3"/>
  <c r="C326" i="3"/>
  <c r="B326" i="3"/>
  <c r="A326" i="3"/>
  <c r="H325" i="3"/>
  <c r="F325" i="3"/>
  <c r="C325" i="3"/>
  <c r="B325" i="3"/>
  <c r="A325" i="3"/>
  <c r="H324" i="3"/>
  <c r="F324" i="3"/>
  <c r="E324" i="3"/>
  <c r="C324" i="3"/>
  <c r="B324" i="3"/>
  <c r="A324" i="3"/>
  <c r="I323" i="3"/>
  <c r="H323" i="3"/>
  <c r="F323" i="3"/>
  <c r="C323" i="3"/>
  <c r="B323" i="3"/>
  <c r="A323" i="3"/>
  <c r="H322" i="3"/>
  <c r="F322" i="3"/>
  <c r="C322" i="3"/>
  <c r="B322" i="3"/>
  <c r="A322" i="3"/>
  <c r="H321" i="3"/>
  <c r="F321" i="3"/>
  <c r="C321" i="3"/>
  <c r="B321" i="3"/>
  <c r="A321" i="3"/>
  <c r="H320" i="3"/>
  <c r="F320" i="3"/>
  <c r="C320" i="3"/>
  <c r="B320" i="3"/>
  <c r="A320" i="3"/>
  <c r="H319" i="3"/>
  <c r="F319" i="3"/>
  <c r="C319" i="3"/>
  <c r="B319" i="3"/>
  <c r="A319" i="3"/>
  <c r="H318" i="3"/>
  <c r="F318" i="3"/>
  <c r="C318" i="3"/>
  <c r="B318" i="3"/>
  <c r="A318" i="3"/>
  <c r="H317" i="3"/>
  <c r="F317" i="3"/>
  <c r="C317" i="3"/>
  <c r="B317" i="3"/>
  <c r="A317" i="3"/>
  <c r="I316" i="3"/>
  <c r="H316" i="3"/>
  <c r="F316" i="3"/>
  <c r="E316" i="3"/>
  <c r="C316" i="3"/>
  <c r="B316" i="3"/>
  <c r="A316" i="3"/>
  <c r="H315" i="3"/>
  <c r="F315" i="3"/>
  <c r="C315" i="3"/>
  <c r="B315" i="3"/>
  <c r="A315" i="3"/>
  <c r="I314" i="3"/>
  <c r="H314" i="3"/>
  <c r="F314" i="3"/>
  <c r="C314" i="3"/>
  <c r="B314" i="3"/>
  <c r="A314" i="3"/>
  <c r="H313" i="3"/>
  <c r="F313" i="3"/>
  <c r="C313" i="3"/>
  <c r="B313" i="3"/>
  <c r="A313" i="3"/>
  <c r="H312" i="3"/>
  <c r="F312" i="3"/>
  <c r="C312" i="3"/>
  <c r="B312" i="3"/>
  <c r="A312" i="3"/>
  <c r="H311" i="3"/>
  <c r="F311" i="3"/>
  <c r="C311" i="3"/>
  <c r="B311" i="3"/>
  <c r="A311" i="3"/>
  <c r="H310" i="3"/>
  <c r="F310" i="3"/>
  <c r="C310" i="3"/>
  <c r="B310" i="3"/>
  <c r="A310" i="3"/>
  <c r="H309" i="3"/>
  <c r="F309" i="3"/>
  <c r="E309" i="3"/>
  <c r="C309" i="3"/>
  <c r="B309" i="3"/>
  <c r="A309" i="3"/>
  <c r="H308" i="3"/>
  <c r="F308" i="3"/>
  <c r="C308" i="3"/>
  <c r="B308" i="3"/>
  <c r="A308" i="3"/>
  <c r="H307" i="3"/>
  <c r="F307" i="3"/>
  <c r="C307" i="3"/>
  <c r="B307" i="3"/>
  <c r="A307" i="3"/>
  <c r="I306" i="3"/>
  <c r="H306" i="3"/>
  <c r="F306" i="3"/>
  <c r="C306" i="3"/>
  <c r="B306" i="3"/>
  <c r="A306" i="3"/>
  <c r="H305" i="3"/>
  <c r="F305" i="3"/>
  <c r="C305" i="3"/>
  <c r="B305" i="3"/>
  <c r="A305" i="3"/>
  <c r="J304" i="3"/>
  <c r="H304" i="3"/>
  <c r="F304" i="3"/>
  <c r="C304" i="3"/>
  <c r="B304" i="3"/>
  <c r="A304" i="3"/>
  <c r="H303" i="3"/>
  <c r="F303" i="3"/>
  <c r="C303" i="3"/>
  <c r="B303" i="3"/>
  <c r="A303" i="3"/>
  <c r="H302" i="3"/>
  <c r="F302" i="3"/>
  <c r="E302" i="3"/>
  <c r="C302" i="3"/>
  <c r="B302" i="3"/>
  <c r="A302" i="3"/>
  <c r="H301" i="3"/>
  <c r="F301" i="3"/>
  <c r="C301" i="3"/>
  <c r="B301" i="3"/>
  <c r="A301" i="3"/>
  <c r="H300" i="3"/>
  <c r="F300" i="3"/>
  <c r="E300" i="3"/>
  <c r="C300" i="3"/>
  <c r="B300" i="3"/>
  <c r="A300" i="3"/>
  <c r="I299" i="3"/>
  <c r="H299" i="3"/>
  <c r="F299" i="3"/>
  <c r="C299" i="3"/>
  <c r="B299" i="3"/>
  <c r="A299" i="3"/>
  <c r="H298" i="3"/>
  <c r="F298" i="3"/>
  <c r="C298" i="3"/>
  <c r="B298" i="3"/>
  <c r="A298" i="3"/>
  <c r="H297" i="3"/>
  <c r="F297" i="3"/>
  <c r="C297" i="3"/>
  <c r="B297" i="3"/>
  <c r="A297" i="3"/>
  <c r="H296" i="3"/>
  <c r="F296" i="3"/>
  <c r="C296" i="3"/>
  <c r="B296" i="3"/>
  <c r="A296" i="3"/>
  <c r="H295" i="3"/>
  <c r="F295" i="3"/>
  <c r="C295" i="3"/>
  <c r="B295" i="3"/>
  <c r="A295" i="3"/>
  <c r="H294" i="3"/>
  <c r="F294" i="3"/>
  <c r="C294" i="3"/>
  <c r="B294" i="3"/>
  <c r="A294" i="3"/>
  <c r="H293" i="3"/>
  <c r="F293" i="3"/>
  <c r="C293" i="3"/>
  <c r="B293" i="3"/>
  <c r="A293" i="3"/>
  <c r="H292" i="3"/>
  <c r="F292" i="3"/>
  <c r="E292" i="3"/>
  <c r="C292" i="3"/>
  <c r="B292" i="3"/>
  <c r="A292" i="3"/>
  <c r="H291" i="3"/>
  <c r="F291" i="3"/>
  <c r="C291" i="3"/>
  <c r="B291" i="3"/>
  <c r="A291" i="3"/>
  <c r="I290" i="3"/>
  <c r="H290" i="3"/>
  <c r="F290" i="3"/>
  <c r="C290" i="3"/>
  <c r="B290" i="3"/>
  <c r="A290" i="3"/>
  <c r="H289" i="3"/>
  <c r="F289" i="3"/>
  <c r="C289" i="3"/>
  <c r="B289" i="3"/>
  <c r="A289" i="3"/>
  <c r="J288" i="3"/>
  <c r="H288" i="3"/>
  <c r="F288" i="3"/>
  <c r="C288" i="3"/>
  <c r="B288" i="3"/>
  <c r="A288" i="3"/>
  <c r="H287" i="3"/>
  <c r="F287" i="3"/>
  <c r="C287" i="3"/>
  <c r="B287" i="3"/>
  <c r="A287" i="3"/>
  <c r="H286" i="3"/>
  <c r="F286" i="3"/>
  <c r="C286" i="3"/>
  <c r="B286" i="3"/>
  <c r="A286" i="3"/>
  <c r="H285" i="3"/>
  <c r="F285" i="3"/>
  <c r="E285" i="3"/>
  <c r="C285" i="3"/>
  <c r="B285" i="3"/>
  <c r="A285" i="3"/>
  <c r="H284" i="3"/>
  <c r="F284" i="3"/>
  <c r="C284" i="3"/>
  <c r="B284" i="3"/>
  <c r="A284" i="3"/>
  <c r="H283" i="3"/>
  <c r="F283" i="3"/>
  <c r="C283" i="3"/>
  <c r="B283" i="3"/>
  <c r="A283" i="3"/>
  <c r="I282" i="3"/>
  <c r="H282" i="3"/>
  <c r="F282" i="3"/>
  <c r="C282" i="3"/>
  <c r="B282" i="3"/>
  <c r="A282" i="3"/>
  <c r="H281" i="3"/>
  <c r="F281" i="3"/>
  <c r="C281" i="3"/>
  <c r="B281" i="3"/>
  <c r="A281" i="3"/>
  <c r="H280" i="3"/>
  <c r="F280" i="3"/>
  <c r="E280" i="3"/>
  <c r="C280" i="3"/>
  <c r="B280" i="3"/>
  <c r="A280" i="3"/>
  <c r="H279" i="3"/>
  <c r="F279" i="3"/>
  <c r="C279" i="3"/>
  <c r="B279" i="3"/>
  <c r="A279" i="3"/>
  <c r="H278" i="3"/>
  <c r="F278" i="3"/>
  <c r="C278" i="3"/>
  <c r="B278" i="3"/>
  <c r="A278" i="3"/>
  <c r="H277" i="3"/>
  <c r="F277" i="3"/>
  <c r="C277" i="3"/>
  <c r="B277" i="3"/>
  <c r="A277" i="3"/>
  <c r="H276" i="3"/>
  <c r="F276" i="3"/>
  <c r="E276" i="3"/>
  <c r="C276" i="3"/>
  <c r="B276" i="3"/>
  <c r="A276" i="3"/>
  <c r="I275" i="3"/>
  <c r="H275" i="3"/>
  <c r="F275" i="3"/>
  <c r="C275" i="3"/>
  <c r="B275" i="3"/>
  <c r="A275" i="3"/>
  <c r="H274" i="3"/>
  <c r="F274" i="3"/>
  <c r="C274" i="3"/>
  <c r="B274" i="3"/>
  <c r="A274" i="3"/>
  <c r="H273" i="3"/>
  <c r="F273" i="3"/>
  <c r="C273" i="3"/>
  <c r="B273" i="3"/>
  <c r="A273" i="3"/>
  <c r="H272" i="3"/>
  <c r="F272" i="3"/>
  <c r="C272" i="3"/>
  <c r="B272" i="3"/>
  <c r="A272" i="3"/>
  <c r="H271" i="3"/>
  <c r="F271" i="3"/>
  <c r="C271" i="3"/>
  <c r="B271" i="3"/>
  <c r="A271" i="3"/>
  <c r="H270" i="3"/>
  <c r="F270" i="3"/>
  <c r="C270" i="3"/>
  <c r="B270" i="3"/>
  <c r="A270" i="3"/>
  <c r="H269" i="3"/>
  <c r="F269" i="3"/>
  <c r="C269" i="3"/>
  <c r="B269" i="3"/>
  <c r="A269" i="3"/>
  <c r="H268" i="3"/>
  <c r="F268" i="3"/>
  <c r="E268" i="3"/>
  <c r="C268" i="3"/>
  <c r="B268" i="3"/>
  <c r="A268" i="3"/>
  <c r="H267" i="3"/>
  <c r="F267" i="3"/>
  <c r="C267" i="3"/>
  <c r="B267" i="3"/>
  <c r="A267" i="3"/>
  <c r="I266" i="3"/>
  <c r="H266" i="3"/>
  <c r="F266" i="3"/>
  <c r="C266" i="3"/>
  <c r="B266" i="3"/>
  <c r="A266" i="3"/>
  <c r="H265" i="3"/>
  <c r="F265" i="3"/>
  <c r="C265" i="3"/>
  <c r="B265" i="3"/>
  <c r="A265" i="3"/>
  <c r="H264" i="3"/>
  <c r="F264" i="3"/>
  <c r="E264" i="3"/>
  <c r="C264" i="3"/>
  <c r="B264" i="3"/>
  <c r="A264" i="3"/>
  <c r="H263" i="3"/>
  <c r="F263" i="3"/>
  <c r="C263" i="3"/>
  <c r="B263" i="3"/>
  <c r="A263" i="3"/>
  <c r="H262" i="3"/>
  <c r="F262" i="3"/>
  <c r="C262" i="3"/>
  <c r="B262" i="3"/>
  <c r="A262" i="3"/>
  <c r="H261" i="3"/>
  <c r="F261" i="3"/>
  <c r="E261" i="3"/>
  <c r="C261" i="3"/>
  <c r="B261" i="3"/>
  <c r="A261" i="3"/>
  <c r="H260" i="3"/>
  <c r="F260" i="3"/>
  <c r="C260" i="3"/>
  <c r="B260" i="3"/>
  <c r="A260" i="3"/>
  <c r="H259" i="3"/>
  <c r="F259" i="3"/>
  <c r="C259" i="3"/>
  <c r="B259" i="3"/>
  <c r="A259" i="3"/>
  <c r="I258" i="3"/>
  <c r="H258" i="3"/>
  <c r="F258" i="3"/>
  <c r="C258" i="3"/>
  <c r="B258" i="3"/>
  <c r="A258" i="3"/>
  <c r="H257" i="3"/>
  <c r="F257" i="3"/>
  <c r="C257" i="3"/>
  <c r="B257" i="3"/>
  <c r="A257" i="3"/>
  <c r="H256" i="3"/>
  <c r="F256" i="3"/>
  <c r="C256" i="3"/>
  <c r="B256" i="3"/>
  <c r="A256" i="3"/>
  <c r="H255" i="3"/>
  <c r="F255" i="3"/>
  <c r="C255" i="3"/>
  <c r="B255" i="3"/>
  <c r="A255" i="3"/>
  <c r="H254" i="3"/>
  <c r="F254" i="3"/>
  <c r="C254" i="3"/>
  <c r="B254" i="3"/>
  <c r="A254" i="3"/>
  <c r="H253" i="3"/>
  <c r="F253" i="3"/>
  <c r="C253" i="3"/>
  <c r="B253" i="3"/>
  <c r="A253" i="3"/>
  <c r="H252" i="3"/>
  <c r="F252" i="3"/>
  <c r="E252" i="3"/>
  <c r="C252" i="3"/>
  <c r="B252" i="3"/>
  <c r="A252" i="3"/>
  <c r="I251" i="3"/>
  <c r="H251" i="3"/>
  <c r="F251" i="3"/>
  <c r="C251" i="3"/>
  <c r="B251" i="3"/>
  <c r="A251" i="3"/>
  <c r="H250" i="3"/>
  <c r="F250" i="3"/>
  <c r="C250" i="3"/>
  <c r="B250" i="3"/>
  <c r="A250" i="3"/>
  <c r="J249" i="3"/>
  <c r="H249" i="3"/>
  <c r="F249" i="3"/>
  <c r="C249" i="3"/>
  <c r="B249" i="3"/>
  <c r="A249" i="3"/>
  <c r="H248" i="3"/>
  <c r="F248" i="3"/>
  <c r="C248" i="3"/>
  <c r="B248" i="3"/>
  <c r="A248" i="3"/>
  <c r="H247" i="3"/>
  <c r="F247" i="3"/>
  <c r="C247" i="3"/>
  <c r="B247" i="3"/>
  <c r="A247" i="3"/>
  <c r="H246" i="3"/>
  <c r="F246" i="3"/>
  <c r="C246" i="3"/>
  <c r="B246" i="3"/>
  <c r="A246" i="3"/>
  <c r="H245" i="3"/>
  <c r="F245" i="3"/>
  <c r="C245" i="3"/>
  <c r="B245" i="3"/>
  <c r="A245" i="3"/>
  <c r="H244" i="3"/>
  <c r="F244" i="3"/>
  <c r="E244" i="3"/>
  <c r="C244" i="3"/>
  <c r="B244" i="3"/>
  <c r="A244" i="3"/>
  <c r="H243" i="3"/>
  <c r="F243" i="3"/>
  <c r="C243" i="3"/>
  <c r="B243" i="3"/>
  <c r="A243" i="3"/>
  <c r="I242" i="3"/>
  <c r="H242" i="3"/>
  <c r="F242" i="3"/>
  <c r="C242" i="3"/>
  <c r="B242" i="3"/>
  <c r="A242" i="3"/>
  <c r="H241" i="3"/>
  <c r="F241" i="3"/>
  <c r="C241" i="3"/>
  <c r="B241" i="3"/>
  <c r="A241" i="3"/>
  <c r="H240" i="3"/>
  <c r="F240" i="3"/>
  <c r="C240" i="3"/>
  <c r="B240" i="3"/>
  <c r="A240" i="3"/>
  <c r="H239" i="3"/>
  <c r="F239" i="3"/>
  <c r="C239" i="3"/>
  <c r="B239" i="3"/>
  <c r="A239" i="3"/>
  <c r="H238" i="3"/>
  <c r="F238" i="3"/>
  <c r="C238" i="3"/>
  <c r="B238" i="3"/>
  <c r="A238" i="3"/>
  <c r="H237" i="3"/>
  <c r="F237" i="3"/>
  <c r="E237" i="3"/>
  <c r="C237" i="3"/>
  <c r="B237" i="3"/>
  <c r="A237" i="3"/>
  <c r="H236" i="3"/>
  <c r="F236" i="3"/>
  <c r="C236" i="3"/>
  <c r="B236" i="3"/>
  <c r="A236" i="3"/>
  <c r="H235" i="3"/>
  <c r="F235" i="3"/>
  <c r="C235" i="3"/>
  <c r="B235" i="3"/>
  <c r="A235" i="3"/>
  <c r="I234" i="3"/>
  <c r="H234" i="3"/>
  <c r="F234" i="3"/>
  <c r="C234" i="3"/>
  <c r="B234" i="3"/>
  <c r="A234" i="3"/>
  <c r="H233" i="3"/>
  <c r="F233" i="3"/>
  <c r="C233" i="3"/>
  <c r="B233" i="3"/>
  <c r="A233" i="3"/>
  <c r="H232" i="3"/>
  <c r="F232" i="3"/>
  <c r="C232" i="3"/>
  <c r="B232" i="3"/>
  <c r="A232" i="3"/>
  <c r="H231" i="3"/>
  <c r="F231" i="3"/>
  <c r="C231" i="3"/>
  <c r="B231" i="3"/>
  <c r="A231" i="3"/>
  <c r="H230" i="3"/>
  <c r="F230" i="3"/>
  <c r="C230" i="3"/>
  <c r="B230" i="3"/>
  <c r="A230" i="3"/>
  <c r="H229" i="3"/>
  <c r="F229" i="3"/>
  <c r="C229" i="3"/>
  <c r="B229" i="3"/>
  <c r="A229" i="3"/>
  <c r="H228" i="3"/>
  <c r="F228" i="3"/>
  <c r="E228" i="3"/>
  <c r="C228" i="3"/>
  <c r="B228" i="3"/>
  <c r="A228" i="3"/>
  <c r="I227" i="3"/>
  <c r="H227" i="3"/>
  <c r="F227" i="3"/>
  <c r="C227" i="3"/>
  <c r="B227" i="3"/>
  <c r="A227" i="3"/>
  <c r="H226" i="3"/>
  <c r="F226" i="3"/>
  <c r="C226" i="3"/>
  <c r="B226" i="3"/>
  <c r="A226" i="3"/>
  <c r="H225" i="3"/>
  <c r="F225" i="3"/>
  <c r="C225" i="3"/>
  <c r="B225" i="3"/>
  <c r="A225" i="3"/>
  <c r="H224" i="3"/>
  <c r="F224" i="3"/>
  <c r="C224" i="3"/>
  <c r="B224" i="3"/>
  <c r="A224" i="3"/>
  <c r="H223" i="3"/>
  <c r="F223" i="3"/>
  <c r="C223" i="3"/>
  <c r="B223" i="3"/>
  <c r="A223" i="3"/>
  <c r="H222" i="3"/>
  <c r="F222" i="3"/>
  <c r="C222" i="3"/>
  <c r="B222" i="3"/>
  <c r="A222" i="3"/>
  <c r="H221" i="3"/>
  <c r="F221" i="3"/>
  <c r="C221" i="3"/>
  <c r="B221" i="3"/>
  <c r="A221" i="3"/>
  <c r="H220" i="3"/>
  <c r="F220" i="3"/>
  <c r="E220" i="3"/>
  <c r="C220" i="3"/>
  <c r="B220" i="3"/>
  <c r="A220" i="3"/>
  <c r="H219" i="3"/>
  <c r="F219" i="3"/>
  <c r="C219" i="3"/>
  <c r="B219" i="3"/>
  <c r="A219" i="3"/>
  <c r="I218" i="3"/>
  <c r="H218" i="3"/>
  <c r="F218" i="3"/>
  <c r="C218" i="3"/>
  <c r="B218" i="3"/>
  <c r="A218" i="3"/>
  <c r="H217" i="3"/>
  <c r="F217" i="3"/>
  <c r="C217" i="3"/>
  <c r="B217" i="3"/>
  <c r="A217" i="3"/>
  <c r="H216" i="3"/>
  <c r="F216" i="3"/>
  <c r="E216" i="3"/>
  <c r="C216" i="3"/>
  <c r="B216" i="3"/>
  <c r="A216" i="3"/>
  <c r="H215" i="3"/>
  <c r="F215" i="3"/>
  <c r="C215" i="3"/>
  <c r="B215" i="3"/>
  <c r="A215" i="3"/>
  <c r="H214" i="3"/>
  <c r="F214" i="3"/>
  <c r="C214" i="3"/>
  <c r="B214" i="3"/>
  <c r="A214" i="3"/>
  <c r="H213" i="3"/>
  <c r="F213" i="3"/>
  <c r="E213" i="3"/>
  <c r="C213" i="3"/>
  <c r="B213" i="3"/>
  <c r="A213" i="3"/>
  <c r="H212" i="3"/>
  <c r="F212" i="3"/>
  <c r="C212" i="3"/>
  <c r="B212" i="3"/>
  <c r="A212" i="3"/>
  <c r="H211" i="3"/>
  <c r="F211" i="3"/>
  <c r="C211" i="3"/>
  <c r="B211" i="3"/>
  <c r="A211" i="3"/>
  <c r="I210" i="3"/>
  <c r="H210" i="3"/>
  <c r="F210" i="3"/>
  <c r="C210" i="3"/>
  <c r="B210" i="3"/>
  <c r="A210" i="3"/>
  <c r="H209" i="3"/>
  <c r="F209" i="3"/>
  <c r="C209" i="3"/>
  <c r="B209" i="3"/>
  <c r="A209" i="3"/>
  <c r="H208" i="3"/>
  <c r="F208" i="3"/>
  <c r="C208" i="3"/>
  <c r="B208" i="3"/>
  <c r="A208" i="3"/>
  <c r="H207" i="3"/>
  <c r="F207" i="3"/>
  <c r="C207" i="3"/>
  <c r="B207" i="3"/>
  <c r="A207" i="3"/>
  <c r="H206" i="3"/>
  <c r="F206" i="3"/>
  <c r="C206" i="3"/>
  <c r="B206" i="3"/>
  <c r="A206" i="3"/>
  <c r="H205" i="3"/>
  <c r="F205" i="3"/>
  <c r="C205" i="3"/>
  <c r="B205" i="3"/>
  <c r="A205" i="3"/>
  <c r="H204" i="3"/>
  <c r="F204" i="3"/>
  <c r="E204" i="3"/>
  <c r="C204" i="3"/>
  <c r="B204" i="3"/>
  <c r="A204" i="3"/>
  <c r="H203" i="3"/>
  <c r="F203" i="3"/>
  <c r="C203" i="3"/>
  <c r="B203" i="3"/>
  <c r="A203" i="3"/>
  <c r="H202" i="3"/>
  <c r="F202" i="3"/>
  <c r="C202" i="3"/>
  <c r="B202" i="3"/>
  <c r="A202" i="3"/>
  <c r="H201" i="3"/>
  <c r="F201" i="3"/>
  <c r="C201" i="3"/>
  <c r="B201" i="3"/>
  <c r="A201" i="3"/>
  <c r="H200" i="3"/>
  <c r="F200" i="3"/>
  <c r="C200" i="3"/>
  <c r="B200" i="3"/>
  <c r="A200" i="3"/>
  <c r="H199" i="3"/>
  <c r="F199" i="3"/>
  <c r="C199" i="3"/>
  <c r="B199" i="3"/>
  <c r="A199" i="3"/>
  <c r="H198" i="3"/>
  <c r="F198" i="3"/>
  <c r="C198" i="3"/>
  <c r="B198" i="3"/>
  <c r="A198" i="3"/>
  <c r="H197" i="3"/>
  <c r="F197" i="3"/>
  <c r="C197" i="3"/>
  <c r="B197" i="3"/>
  <c r="A197" i="3"/>
  <c r="H196" i="3"/>
  <c r="F196" i="3"/>
  <c r="E196" i="3"/>
  <c r="C196" i="3"/>
  <c r="B196" i="3"/>
  <c r="A196" i="3"/>
  <c r="H195" i="3"/>
  <c r="F195" i="3"/>
  <c r="C195" i="3"/>
  <c r="B195" i="3"/>
  <c r="A195" i="3"/>
  <c r="I194" i="3"/>
  <c r="H194" i="3"/>
  <c r="F194" i="3"/>
  <c r="C194" i="3"/>
  <c r="B194" i="3"/>
  <c r="A194" i="3"/>
  <c r="H193" i="3"/>
  <c r="F193" i="3"/>
  <c r="C193" i="3"/>
  <c r="B193" i="3"/>
  <c r="A193" i="3"/>
  <c r="H192" i="3"/>
  <c r="F192" i="3"/>
  <c r="C192" i="3"/>
  <c r="B192" i="3"/>
  <c r="A192" i="3"/>
  <c r="H191" i="3"/>
  <c r="F191" i="3"/>
  <c r="C191" i="3"/>
  <c r="B191" i="3"/>
  <c r="A191" i="3"/>
  <c r="H190" i="3"/>
  <c r="F190" i="3"/>
  <c r="C190" i="3"/>
  <c r="B190" i="3"/>
  <c r="A190" i="3"/>
  <c r="H189" i="3"/>
  <c r="F189" i="3"/>
  <c r="E189" i="3"/>
  <c r="C189" i="3"/>
  <c r="B189" i="3"/>
  <c r="A189" i="3"/>
  <c r="H188" i="3"/>
  <c r="F188" i="3"/>
  <c r="C188" i="3"/>
  <c r="B188" i="3"/>
  <c r="A188" i="3"/>
  <c r="H187" i="3"/>
  <c r="F187" i="3"/>
  <c r="C187" i="3"/>
  <c r="B187" i="3"/>
  <c r="A187" i="3"/>
  <c r="I186" i="3"/>
  <c r="H186" i="3"/>
  <c r="F186" i="3"/>
  <c r="C186" i="3"/>
  <c r="B186" i="3"/>
  <c r="A186" i="3"/>
  <c r="H185" i="3"/>
  <c r="F185" i="3"/>
  <c r="C185" i="3"/>
  <c r="B185" i="3"/>
  <c r="A185" i="3"/>
  <c r="H184" i="3"/>
  <c r="F184" i="3"/>
  <c r="C184" i="3"/>
  <c r="B184" i="3"/>
  <c r="A184" i="3"/>
  <c r="H183" i="3"/>
  <c r="F183" i="3"/>
  <c r="C183" i="3"/>
  <c r="B183" i="3"/>
  <c r="A183" i="3"/>
  <c r="H182" i="3"/>
  <c r="F182" i="3"/>
  <c r="C182" i="3"/>
  <c r="B182" i="3"/>
  <c r="A182" i="3"/>
  <c r="H181" i="3"/>
  <c r="F181" i="3"/>
  <c r="C181" i="3"/>
  <c r="B181" i="3"/>
  <c r="A181" i="3"/>
  <c r="H180" i="3"/>
  <c r="F180" i="3"/>
  <c r="E180" i="3"/>
  <c r="C180" i="3"/>
  <c r="B180" i="3"/>
  <c r="A180" i="3"/>
  <c r="H179" i="3"/>
  <c r="F179" i="3"/>
  <c r="C179" i="3"/>
  <c r="B179" i="3"/>
  <c r="A179" i="3"/>
  <c r="H178" i="3"/>
  <c r="F178" i="3"/>
  <c r="C178" i="3"/>
  <c r="B178" i="3"/>
  <c r="A178" i="3"/>
  <c r="H177" i="3"/>
  <c r="F177" i="3"/>
  <c r="C177" i="3"/>
  <c r="B177" i="3"/>
  <c r="A177" i="3"/>
  <c r="H176" i="3"/>
  <c r="F176" i="3"/>
  <c r="C176" i="3"/>
  <c r="B176" i="3"/>
  <c r="A176" i="3"/>
  <c r="H175" i="3"/>
  <c r="F175" i="3"/>
  <c r="C175" i="3"/>
  <c r="B175" i="3"/>
  <c r="A175" i="3"/>
  <c r="H174" i="3"/>
  <c r="F174" i="3"/>
  <c r="C174" i="3"/>
  <c r="B174" i="3"/>
  <c r="A174" i="3"/>
  <c r="H173" i="3"/>
  <c r="F173" i="3"/>
  <c r="C173" i="3"/>
  <c r="B173" i="3"/>
  <c r="A173" i="3"/>
  <c r="H172" i="3"/>
  <c r="F172" i="3"/>
  <c r="E172" i="3"/>
  <c r="C172" i="3"/>
  <c r="B172" i="3"/>
  <c r="A172" i="3"/>
  <c r="H171" i="3"/>
  <c r="F171" i="3"/>
  <c r="C171" i="3"/>
  <c r="B171" i="3"/>
  <c r="A171" i="3"/>
  <c r="I170" i="3"/>
  <c r="H170" i="3"/>
  <c r="F170" i="3"/>
  <c r="C170" i="3"/>
  <c r="B170" i="3"/>
  <c r="A170" i="3"/>
  <c r="H169" i="3"/>
  <c r="F169" i="3"/>
  <c r="C169" i="3"/>
  <c r="B169" i="3"/>
  <c r="A169" i="3"/>
  <c r="H168" i="3"/>
  <c r="F168" i="3"/>
  <c r="C168" i="3"/>
  <c r="B168" i="3"/>
  <c r="A168" i="3"/>
  <c r="H167" i="3"/>
  <c r="F167" i="3"/>
  <c r="C167" i="3"/>
  <c r="B167" i="3"/>
  <c r="A167" i="3"/>
  <c r="H166" i="3"/>
  <c r="F166" i="3"/>
  <c r="C166" i="3"/>
  <c r="B166" i="3"/>
  <c r="A166" i="3"/>
  <c r="H165" i="3"/>
  <c r="F165" i="3"/>
  <c r="E165" i="3"/>
  <c r="C165" i="3"/>
  <c r="B165" i="3"/>
  <c r="A165" i="3"/>
  <c r="H164" i="3"/>
  <c r="F164" i="3"/>
  <c r="C164" i="3"/>
  <c r="B164" i="3"/>
  <c r="A164" i="3"/>
  <c r="H163" i="3"/>
  <c r="F163" i="3"/>
  <c r="C163" i="3"/>
  <c r="B163" i="3"/>
  <c r="A163" i="3"/>
  <c r="I162" i="3"/>
  <c r="H162" i="3"/>
  <c r="F162" i="3"/>
  <c r="C162" i="3"/>
  <c r="B162" i="3"/>
  <c r="A162" i="3"/>
  <c r="H161" i="3"/>
  <c r="F161" i="3"/>
  <c r="C161" i="3"/>
  <c r="B161" i="3"/>
  <c r="A161" i="3"/>
  <c r="H160" i="3"/>
  <c r="F160" i="3"/>
  <c r="C160" i="3"/>
  <c r="B160" i="3"/>
  <c r="A160" i="3"/>
  <c r="H159" i="3"/>
  <c r="F159" i="3"/>
  <c r="C159" i="3"/>
  <c r="B159" i="3"/>
  <c r="A159" i="3"/>
  <c r="H158" i="3"/>
  <c r="F158" i="3"/>
  <c r="C158" i="3"/>
  <c r="B158" i="3"/>
  <c r="A158" i="3"/>
  <c r="H157" i="3"/>
  <c r="F157" i="3"/>
  <c r="C157" i="3"/>
  <c r="B157" i="3"/>
  <c r="A157" i="3"/>
  <c r="H156" i="3"/>
  <c r="F156" i="3"/>
  <c r="E156" i="3"/>
  <c r="C156" i="3"/>
  <c r="B156" i="3"/>
  <c r="A156" i="3"/>
  <c r="H155" i="3"/>
  <c r="F155" i="3"/>
  <c r="C155" i="3"/>
  <c r="B155" i="3"/>
  <c r="A155" i="3"/>
  <c r="H154" i="3"/>
  <c r="F154" i="3"/>
  <c r="C154" i="3"/>
  <c r="B154" i="3"/>
  <c r="A154" i="3"/>
  <c r="H153" i="3"/>
  <c r="F153" i="3"/>
  <c r="C153" i="3"/>
  <c r="B153" i="3"/>
  <c r="A153" i="3"/>
  <c r="H152" i="3"/>
  <c r="F152" i="3"/>
  <c r="C152" i="3"/>
  <c r="B152" i="3"/>
  <c r="A152" i="3"/>
  <c r="H151" i="3"/>
  <c r="F151" i="3"/>
  <c r="C151" i="3"/>
  <c r="B151" i="3"/>
  <c r="A151" i="3"/>
  <c r="H150" i="3"/>
  <c r="F150" i="3"/>
  <c r="C150" i="3"/>
  <c r="B150" i="3"/>
  <c r="A150" i="3"/>
  <c r="H149" i="3"/>
  <c r="F149" i="3"/>
  <c r="C149" i="3"/>
  <c r="B149" i="3"/>
  <c r="A149" i="3"/>
  <c r="H148" i="3"/>
  <c r="F148" i="3"/>
  <c r="E148" i="3"/>
  <c r="C148" i="3"/>
  <c r="B148" i="3"/>
  <c r="A148" i="3"/>
  <c r="H147" i="3"/>
  <c r="F147" i="3"/>
  <c r="C147" i="3"/>
  <c r="B147" i="3"/>
  <c r="A147" i="3"/>
  <c r="H146" i="3"/>
  <c r="F146" i="3"/>
  <c r="C146" i="3"/>
  <c r="B146" i="3"/>
  <c r="A146" i="3"/>
  <c r="H145" i="3"/>
  <c r="F145" i="3"/>
  <c r="C145" i="3"/>
  <c r="B145" i="3"/>
  <c r="A145" i="3"/>
  <c r="H144" i="3"/>
  <c r="F144" i="3"/>
  <c r="C144" i="3"/>
  <c r="B144" i="3"/>
  <c r="A144" i="3"/>
  <c r="H143" i="3"/>
  <c r="F143" i="3"/>
  <c r="C143" i="3"/>
  <c r="B143" i="3"/>
  <c r="A143" i="3"/>
  <c r="H142" i="3"/>
  <c r="F142" i="3"/>
  <c r="C142" i="3"/>
  <c r="B142" i="3"/>
  <c r="A142" i="3"/>
  <c r="H141" i="3"/>
  <c r="F141" i="3"/>
  <c r="E141" i="3"/>
  <c r="C141" i="3"/>
  <c r="B141" i="3"/>
  <c r="A141" i="3"/>
  <c r="H140" i="3"/>
  <c r="F140" i="3"/>
  <c r="C140" i="3"/>
  <c r="B140" i="3"/>
  <c r="A140" i="3"/>
  <c r="H139" i="3"/>
  <c r="F139" i="3"/>
  <c r="C139" i="3"/>
  <c r="B139" i="3"/>
  <c r="A139" i="3"/>
  <c r="H138" i="3"/>
  <c r="F138" i="3"/>
  <c r="C138" i="3"/>
  <c r="B138" i="3"/>
  <c r="A138" i="3"/>
  <c r="H137" i="3"/>
  <c r="F137" i="3"/>
  <c r="C137" i="3"/>
  <c r="B137" i="3"/>
  <c r="A137" i="3"/>
  <c r="H136" i="3"/>
  <c r="F136" i="3"/>
  <c r="E136" i="3"/>
  <c r="C136" i="3"/>
  <c r="B136" i="3"/>
  <c r="A136" i="3"/>
  <c r="H135" i="3"/>
  <c r="F135" i="3"/>
  <c r="C135" i="3"/>
  <c r="B135" i="3"/>
  <c r="A135" i="3"/>
  <c r="H134" i="3"/>
  <c r="F134" i="3"/>
  <c r="C134" i="3"/>
  <c r="B134" i="3"/>
  <c r="A134" i="3"/>
  <c r="H133" i="3"/>
  <c r="F133" i="3"/>
  <c r="C133" i="3"/>
  <c r="B133" i="3"/>
  <c r="A133" i="3"/>
  <c r="H132" i="3"/>
  <c r="F132" i="3"/>
  <c r="E132" i="3"/>
  <c r="C132" i="3"/>
  <c r="B132" i="3"/>
  <c r="A132" i="3"/>
  <c r="I131" i="3"/>
  <c r="H131" i="3"/>
  <c r="F131" i="3"/>
  <c r="C131" i="3"/>
  <c r="B131" i="3"/>
  <c r="A131" i="3"/>
  <c r="H130" i="3"/>
  <c r="F130" i="3"/>
  <c r="C130" i="3"/>
  <c r="B130" i="3"/>
  <c r="A130" i="3"/>
  <c r="H129" i="3"/>
  <c r="F129" i="3"/>
  <c r="C129" i="3"/>
  <c r="B129" i="3"/>
  <c r="A129" i="3"/>
  <c r="H128" i="3"/>
  <c r="F128" i="3"/>
  <c r="C128" i="3"/>
  <c r="B128" i="3"/>
  <c r="A128" i="3"/>
  <c r="H127" i="3"/>
  <c r="F127" i="3"/>
  <c r="C127" i="3"/>
  <c r="B127" i="3"/>
  <c r="A127" i="3"/>
  <c r="H126" i="3"/>
  <c r="F126" i="3"/>
  <c r="C126" i="3"/>
  <c r="B126" i="3"/>
  <c r="A126" i="3"/>
  <c r="H125" i="3"/>
  <c r="F125" i="3"/>
  <c r="C125" i="3"/>
  <c r="B125" i="3"/>
  <c r="A125" i="3"/>
  <c r="H124" i="3"/>
  <c r="F124" i="3"/>
  <c r="E124" i="3"/>
  <c r="C124" i="3"/>
  <c r="B124" i="3"/>
  <c r="A124" i="3"/>
  <c r="H123" i="3"/>
  <c r="F123" i="3"/>
  <c r="C123" i="3"/>
  <c r="B123" i="3"/>
  <c r="A123" i="3"/>
  <c r="H122" i="3"/>
  <c r="F122" i="3"/>
  <c r="C122" i="3"/>
  <c r="B122" i="3"/>
  <c r="A122" i="3"/>
  <c r="H121" i="3"/>
  <c r="F121" i="3"/>
  <c r="C121" i="3"/>
  <c r="B121" i="3"/>
  <c r="A121" i="3"/>
  <c r="H120" i="3"/>
  <c r="F120" i="3"/>
  <c r="E120" i="3"/>
  <c r="C120" i="3"/>
  <c r="B120" i="3"/>
  <c r="A120" i="3"/>
  <c r="H119" i="3"/>
  <c r="F119" i="3"/>
  <c r="C119" i="3"/>
  <c r="B119" i="3"/>
  <c r="A119" i="3"/>
  <c r="H118" i="3"/>
  <c r="F118" i="3"/>
  <c r="C118" i="3"/>
  <c r="B118" i="3"/>
  <c r="A118" i="3"/>
  <c r="H117" i="3"/>
  <c r="F117" i="3"/>
  <c r="E117" i="3"/>
  <c r="C117" i="3"/>
  <c r="B117" i="3"/>
  <c r="A117" i="3"/>
  <c r="H116" i="3"/>
  <c r="F116" i="3"/>
  <c r="E116" i="3"/>
  <c r="C116" i="3"/>
  <c r="B116" i="3"/>
  <c r="A116" i="3"/>
  <c r="H115" i="3"/>
  <c r="F115" i="3"/>
  <c r="C115" i="3"/>
  <c r="B115" i="3"/>
  <c r="A115" i="3"/>
  <c r="H114" i="3"/>
  <c r="F114" i="3"/>
  <c r="C114" i="3"/>
  <c r="B114" i="3"/>
  <c r="A114" i="3"/>
  <c r="H113" i="3"/>
  <c r="F113" i="3"/>
  <c r="C113" i="3"/>
  <c r="B113" i="3"/>
  <c r="A113" i="3"/>
  <c r="H112" i="3"/>
  <c r="F112" i="3"/>
  <c r="C112" i="3"/>
  <c r="B112" i="3"/>
  <c r="A112" i="3"/>
  <c r="H111" i="3"/>
  <c r="F111" i="3"/>
  <c r="C111" i="3"/>
  <c r="B111" i="3"/>
  <c r="A111" i="3"/>
  <c r="H110" i="3"/>
  <c r="F110" i="3"/>
  <c r="C110" i="3"/>
  <c r="B110" i="3"/>
  <c r="A110" i="3"/>
  <c r="H109" i="3"/>
  <c r="F109" i="3"/>
  <c r="E109" i="3"/>
  <c r="C109" i="3"/>
  <c r="B109" i="3"/>
  <c r="A109" i="3"/>
  <c r="H108" i="3"/>
  <c r="F108" i="3"/>
  <c r="E108" i="3"/>
  <c r="C108" i="3"/>
  <c r="B108" i="3"/>
  <c r="A108" i="3"/>
  <c r="H107" i="3"/>
  <c r="F107" i="3"/>
  <c r="C107" i="3"/>
  <c r="B107" i="3"/>
  <c r="A107" i="3"/>
  <c r="H106" i="3"/>
  <c r="F106" i="3"/>
  <c r="C106" i="3"/>
  <c r="B106" i="3"/>
  <c r="A106" i="3"/>
  <c r="H105" i="3"/>
  <c r="F105" i="3"/>
  <c r="C105" i="3"/>
  <c r="B105" i="3"/>
  <c r="A105" i="3"/>
  <c r="H104" i="3"/>
  <c r="F104" i="3"/>
  <c r="C104" i="3"/>
  <c r="B104" i="3"/>
  <c r="A104" i="3"/>
  <c r="H103" i="3"/>
  <c r="F103" i="3"/>
  <c r="C103" i="3"/>
  <c r="B103" i="3"/>
  <c r="A103" i="3"/>
  <c r="H102" i="3"/>
  <c r="F102" i="3"/>
  <c r="C102" i="3"/>
  <c r="B102" i="3"/>
  <c r="A102" i="3"/>
  <c r="H101" i="3"/>
  <c r="F101" i="3"/>
  <c r="C101" i="3"/>
  <c r="B101" i="3"/>
  <c r="A101" i="3"/>
  <c r="H100" i="3"/>
  <c r="F100" i="3"/>
  <c r="C100" i="3"/>
  <c r="B100" i="3"/>
  <c r="A100" i="3"/>
  <c r="J349" i="3"/>
  <c r="N251" i="2"/>
  <c r="I349" i="3" s="1"/>
  <c r="L251" i="2"/>
  <c r="E349" i="3" s="1"/>
  <c r="J348" i="3"/>
  <c r="N250" i="2"/>
  <c r="I348" i="3" s="1"/>
  <c r="L250" i="2"/>
  <c r="J347" i="3"/>
  <c r="N249" i="2"/>
  <c r="L249" i="2"/>
  <c r="E347" i="3" s="1"/>
  <c r="J346" i="3"/>
  <c r="N248" i="2"/>
  <c r="I346" i="3" s="1"/>
  <c r="L248" i="2"/>
  <c r="E346" i="3" s="1"/>
  <c r="J345" i="3"/>
  <c r="N247" i="2"/>
  <c r="I345" i="3" s="1"/>
  <c r="L247" i="2"/>
  <c r="E345" i="3" s="1"/>
  <c r="J344" i="3"/>
  <c r="N246" i="2"/>
  <c r="I344" i="3" s="1"/>
  <c r="L246" i="2"/>
  <c r="E344" i="3" s="1"/>
  <c r="J343" i="3"/>
  <c r="N245" i="2"/>
  <c r="I343" i="3" s="1"/>
  <c r="L245" i="2"/>
  <c r="E343" i="3" s="1"/>
  <c r="J342" i="3"/>
  <c r="N244" i="2"/>
  <c r="I342" i="3" s="1"/>
  <c r="L244" i="2"/>
  <c r="E342" i="3" s="1"/>
  <c r="J341" i="3"/>
  <c r="N243" i="2"/>
  <c r="I341" i="3" s="1"/>
  <c r="L243" i="2"/>
  <c r="E341" i="3" s="1"/>
  <c r="N242" i="2"/>
  <c r="L242" i="2"/>
  <c r="N241" i="2"/>
  <c r="I339" i="3" s="1"/>
  <c r="L241" i="2"/>
  <c r="E339" i="3" s="1"/>
  <c r="J338" i="3"/>
  <c r="N240" i="2"/>
  <c r="L240" i="2"/>
  <c r="E338" i="3" s="1"/>
  <c r="J337" i="3"/>
  <c r="N239" i="2"/>
  <c r="I337" i="3" s="1"/>
  <c r="L239" i="2"/>
  <c r="E337" i="3" s="1"/>
  <c r="N238" i="2"/>
  <c r="I336" i="3" s="1"/>
  <c r="L238" i="2"/>
  <c r="E336" i="3" s="1"/>
  <c r="J335" i="3"/>
  <c r="N237" i="2"/>
  <c r="I335" i="3" s="1"/>
  <c r="L237" i="2"/>
  <c r="E335" i="3" s="1"/>
  <c r="J334" i="3"/>
  <c r="N236" i="2"/>
  <c r="I334" i="3" s="1"/>
  <c r="L236" i="2"/>
  <c r="E334" i="3" s="1"/>
  <c r="N235" i="2"/>
  <c r="I333" i="3" s="1"/>
  <c r="L235" i="2"/>
  <c r="J332" i="3"/>
  <c r="N234" i="2"/>
  <c r="I332" i="3" s="1"/>
  <c r="L234" i="2"/>
  <c r="E332" i="3" s="1"/>
  <c r="J331" i="3"/>
  <c r="N233" i="2"/>
  <c r="I331" i="3" s="1"/>
  <c r="L233" i="2"/>
  <c r="E331" i="3" s="1"/>
  <c r="J330" i="3"/>
  <c r="N232" i="2"/>
  <c r="L232" i="2"/>
  <c r="E330" i="3" s="1"/>
  <c r="J329" i="3"/>
  <c r="N231" i="2"/>
  <c r="I329" i="3" s="1"/>
  <c r="L231" i="2"/>
  <c r="E329" i="3" s="1"/>
  <c r="N230" i="2"/>
  <c r="L230" i="2"/>
  <c r="J327" i="3"/>
  <c r="N229" i="2"/>
  <c r="I327" i="3" s="1"/>
  <c r="L229" i="2"/>
  <c r="E327" i="3" s="1"/>
  <c r="J326" i="3"/>
  <c r="N228" i="2"/>
  <c r="I326" i="3" s="1"/>
  <c r="L228" i="2"/>
  <c r="E326" i="3" s="1"/>
  <c r="J325" i="3"/>
  <c r="N227" i="2"/>
  <c r="I325" i="3" s="1"/>
  <c r="L227" i="2"/>
  <c r="E325" i="3" s="1"/>
  <c r="J324" i="3"/>
  <c r="N226" i="2"/>
  <c r="I324" i="3" s="1"/>
  <c r="L226" i="2"/>
  <c r="J323" i="3"/>
  <c r="N225" i="2"/>
  <c r="L225" i="2"/>
  <c r="E323" i="3" s="1"/>
  <c r="J322" i="3"/>
  <c r="N224" i="2"/>
  <c r="I322" i="3" s="1"/>
  <c r="L224" i="2"/>
  <c r="E322" i="3" s="1"/>
  <c r="J321" i="3"/>
  <c r="N223" i="2"/>
  <c r="I321" i="3" s="1"/>
  <c r="L223" i="2"/>
  <c r="E321" i="3" s="1"/>
  <c r="J320" i="3"/>
  <c r="N222" i="2"/>
  <c r="I320" i="3" s="1"/>
  <c r="L222" i="2"/>
  <c r="E320" i="3" s="1"/>
  <c r="J319" i="3"/>
  <c r="N221" i="2"/>
  <c r="I319" i="3" s="1"/>
  <c r="L221" i="2"/>
  <c r="E319" i="3" s="1"/>
  <c r="J318" i="3"/>
  <c r="N220" i="2"/>
  <c r="I318" i="3" s="1"/>
  <c r="L220" i="2"/>
  <c r="E318" i="3" s="1"/>
  <c r="J317" i="3"/>
  <c r="N219" i="2"/>
  <c r="I317" i="3" s="1"/>
  <c r="L219" i="2"/>
  <c r="E317" i="3" s="1"/>
  <c r="N218" i="2"/>
  <c r="L218" i="2"/>
  <c r="J315" i="3"/>
  <c r="N217" i="2"/>
  <c r="I315" i="3" s="1"/>
  <c r="L217" i="2"/>
  <c r="E315" i="3" s="1"/>
  <c r="J314" i="3"/>
  <c r="N216" i="2"/>
  <c r="L216" i="2"/>
  <c r="E314" i="3" s="1"/>
  <c r="N215" i="2"/>
  <c r="I313" i="3" s="1"/>
  <c r="L215" i="2"/>
  <c r="E313" i="3" s="1"/>
  <c r="N214" i="2"/>
  <c r="I312" i="3" s="1"/>
  <c r="L214" i="2"/>
  <c r="E312" i="3" s="1"/>
  <c r="J311" i="3"/>
  <c r="N213" i="2"/>
  <c r="I311" i="3" s="1"/>
  <c r="L213" i="2"/>
  <c r="E311" i="3" s="1"/>
  <c r="J310" i="3"/>
  <c r="N212" i="2"/>
  <c r="I310" i="3" s="1"/>
  <c r="L212" i="2"/>
  <c r="E310" i="3" s="1"/>
  <c r="N211" i="2"/>
  <c r="I309" i="3" s="1"/>
  <c r="L211" i="2"/>
  <c r="J308" i="3"/>
  <c r="N210" i="2"/>
  <c r="I308" i="3" s="1"/>
  <c r="L210" i="2"/>
  <c r="E308" i="3" s="1"/>
  <c r="J307" i="3"/>
  <c r="N209" i="2"/>
  <c r="I307" i="3" s="1"/>
  <c r="L209" i="2"/>
  <c r="E307" i="3" s="1"/>
  <c r="J306" i="3"/>
  <c r="N208" i="2"/>
  <c r="L208" i="2"/>
  <c r="E306" i="3" s="1"/>
  <c r="J305" i="3"/>
  <c r="N207" i="2"/>
  <c r="I305" i="3" s="1"/>
  <c r="L207" i="2"/>
  <c r="E305" i="3" s="1"/>
  <c r="N206" i="2"/>
  <c r="I304" i="3" s="1"/>
  <c r="L206" i="2"/>
  <c r="E304" i="3" s="1"/>
  <c r="J303" i="3"/>
  <c r="N205" i="2"/>
  <c r="I303" i="3" s="1"/>
  <c r="L205" i="2"/>
  <c r="E303" i="3" s="1"/>
  <c r="J302" i="3"/>
  <c r="N204" i="2"/>
  <c r="I302" i="3" s="1"/>
  <c r="L204" i="2"/>
  <c r="J301" i="3"/>
  <c r="N203" i="2"/>
  <c r="I301" i="3" s="1"/>
  <c r="L203" i="2"/>
  <c r="E301" i="3" s="1"/>
  <c r="J300" i="3"/>
  <c r="N202" i="2"/>
  <c r="I300" i="3" s="1"/>
  <c r="L202" i="2"/>
  <c r="J299" i="3"/>
  <c r="N201" i="2"/>
  <c r="L201" i="2"/>
  <c r="E299" i="3" s="1"/>
  <c r="J298" i="3"/>
  <c r="N200" i="2"/>
  <c r="I298" i="3" s="1"/>
  <c r="L200" i="2"/>
  <c r="E298" i="3" s="1"/>
  <c r="J297" i="3"/>
  <c r="N199" i="2"/>
  <c r="I297" i="3" s="1"/>
  <c r="L199" i="2"/>
  <c r="E297" i="3" s="1"/>
  <c r="J296" i="3"/>
  <c r="N198" i="2"/>
  <c r="I296" i="3" s="1"/>
  <c r="L198" i="2"/>
  <c r="E296" i="3" s="1"/>
  <c r="J295" i="3"/>
  <c r="N197" i="2"/>
  <c r="I295" i="3" s="1"/>
  <c r="L197" i="2"/>
  <c r="E295" i="3" s="1"/>
  <c r="J294" i="3"/>
  <c r="N196" i="2"/>
  <c r="I294" i="3" s="1"/>
  <c r="L196" i="2"/>
  <c r="E294" i="3" s="1"/>
  <c r="J293" i="3"/>
  <c r="N195" i="2"/>
  <c r="I293" i="3" s="1"/>
  <c r="L195" i="2"/>
  <c r="E293" i="3" s="1"/>
  <c r="N194" i="2"/>
  <c r="I292" i="3" s="1"/>
  <c r="L194" i="2"/>
  <c r="J291" i="3"/>
  <c r="N193" i="2"/>
  <c r="I291" i="3" s="1"/>
  <c r="L193" i="2"/>
  <c r="E291" i="3" s="1"/>
  <c r="J290" i="3"/>
  <c r="N192" i="2"/>
  <c r="L192" i="2"/>
  <c r="E290" i="3" s="1"/>
  <c r="N191" i="2"/>
  <c r="I289" i="3" s="1"/>
  <c r="L191" i="2"/>
  <c r="E289" i="3" s="1"/>
  <c r="N190" i="2"/>
  <c r="I288" i="3" s="1"/>
  <c r="L190" i="2"/>
  <c r="E288" i="3" s="1"/>
  <c r="J287" i="3"/>
  <c r="N189" i="2"/>
  <c r="I287" i="3" s="1"/>
  <c r="L189" i="2"/>
  <c r="E287" i="3" s="1"/>
  <c r="J286" i="3"/>
  <c r="N188" i="2"/>
  <c r="I286" i="3" s="1"/>
  <c r="L188" i="2"/>
  <c r="E286" i="3" s="1"/>
  <c r="N187" i="2"/>
  <c r="I285" i="3" s="1"/>
  <c r="L187" i="2"/>
  <c r="J284" i="3"/>
  <c r="N186" i="2"/>
  <c r="I284" i="3" s="1"/>
  <c r="L186" i="2"/>
  <c r="E284" i="3" s="1"/>
  <c r="J283" i="3"/>
  <c r="N185" i="2"/>
  <c r="I283" i="3" s="1"/>
  <c r="L185" i="2"/>
  <c r="E283" i="3" s="1"/>
  <c r="J282" i="3"/>
  <c r="N184" i="2"/>
  <c r="L184" i="2"/>
  <c r="E282" i="3" s="1"/>
  <c r="J281" i="3"/>
  <c r="N183" i="2"/>
  <c r="I281" i="3" s="1"/>
  <c r="L183" i="2"/>
  <c r="E281" i="3" s="1"/>
  <c r="J280" i="3"/>
  <c r="N182" i="2"/>
  <c r="I280" i="3" s="1"/>
  <c r="L182" i="2"/>
  <c r="J279" i="3"/>
  <c r="N181" i="2"/>
  <c r="I279" i="3" s="1"/>
  <c r="L181" i="2"/>
  <c r="E279" i="3" s="1"/>
  <c r="J278" i="3"/>
  <c r="N180" i="2"/>
  <c r="I278" i="3" s="1"/>
  <c r="L180" i="2"/>
  <c r="E278" i="3" s="1"/>
  <c r="J277" i="3"/>
  <c r="N179" i="2"/>
  <c r="I277" i="3" s="1"/>
  <c r="L179" i="2"/>
  <c r="E277" i="3" s="1"/>
  <c r="J276" i="3"/>
  <c r="N178" i="2"/>
  <c r="I276" i="3" s="1"/>
  <c r="L178" i="2"/>
  <c r="J275" i="3"/>
  <c r="N177" i="2"/>
  <c r="L177" i="2"/>
  <c r="E275" i="3" s="1"/>
  <c r="J274" i="3"/>
  <c r="N176" i="2"/>
  <c r="I274" i="3" s="1"/>
  <c r="L176" i="2"/>
  <c r="E274" i="3" s="1"/>
  <c r="J273" i="3"/>
  <c r="N175" i="2"/>
  <c r="I273" i="3" s="1"/>
  <c r="L175" i="2"/>
  <c r="E273" i="3" s="1"/>
  <c r="J272" i="3"/>
  <c r="N174" i="2"/>
  <c r="I272" i="3" s="1"/>
  <c r="L174" i="2"/>
  <c r="E272" i="3" s="1"/>
  <c r="J271" i="3"/>
  <c r="N173" i="2"/>
  <c r="I271" i="3" s="1"/>
  <c r="L173" i="2"/>
  <c r="E271" i="3" s="1"/>
  <c r="J270" i="3"/>
  <c r="N172" i="2"/>
  <c r="I270" i="3" s="1"/>
  <c r="L172" i="2"/>
  <c r="E270" i="3" s="1"/>
  <c r="J269" i="3"/>
  <c r="N171" i="2"/>
  <c r="I269" i="3" s="1"/>
  <c r="L171" i="2"/>
  <c r="E269" i="3" s="1"/>
  <c r="N170" i="2"/>
  <c r="I268" i="3" s="1"/>
  <c r="L170" i="2"/>
  <c r="J267" i="3"/>
  <c r="N169" i="2"/>
  <c r="I267" i="3" s="1"/>
  <c r="L169" i="2"/>
  <c r="E267" i="3" s="1"/>
  <c r="J266" i="3"/>
  <c r="N168" i="2"/>
  <c r="L168" i="2"/>
  <c r="E266" i="3" s="1"/>
  <c r="J265" i="3"/>
  <c r="N167" i="2"/>
  <c r="I265" i="3" s="1"/>
  <c r="L167" i="2"/>
  <c r="E265" i="3" s="1"/>
  <c r="J264" i="3"/>
  <c r="N166" i="2"/>
  <c r="I264" i="3" s="1"/>
  <c r="L166" i="2"/>
  <c r="J263" i="3"/>
  <c r="N165" i="2"/>
  <c r="I263" i="3" s="1"/>
  <c r="L165" i="2"/>
  <c r="E263" i="3" s="1"/>
  <c r="J262" i="3"/>
  <c r="N164" i="2"/>
  <c r="I262" i="3" s="1"/>
  <c r="L164" i="2"/>
  <c r="E262" i="3" s="1"/>
  <c r="N163" i="2"/>
  <c r="I261" i="3" s="1"/>
  <c r="L163" i="2"/>
  <c r="J260" i="3"/>
  <c r="N162" i="2"/>
  <c r="I260" i="3" s="1"/>
  <c r="L162" i="2"/>
  <c r="E260" i="3" s="1"/>
  <c r="J259" i="3"/>
  <c r="N161" i="2"/>
  <c r="I259" i="3" s="1"/>
  <c r="L161" i="2"/>
  <c r="E259" i="3" s="1"/>
  <c r="J258" i="3"/>
  <c r="N160" i="2"/>
  <c r="L160" i="2"/>
  <c r="E258" i="3" s="1"/>
  <c r="J257" i="3"/>
  <c r="N159" i="2"/>
  <c r="I257" i="3" s="1"/>
  <c r="L159" i="2"/>
  <c r="E257" i="3" s="1"/>
  <c r="J256" i="3"/>
  <c r="N158" i="2"/>
  <c r="I256" i="3" s="1"/>
  <c r="L158" i="2"/>
  <c r="E256" i="3" s="1"/>
  <c r="J255" i="3"/>
  <c r="N157" i="2"/>
  <c r="I255" i="3" s="1"/>
  <c r="L157" i="2"/>
  <c r="E255" i="3" s="1"/>
  <c r="J254" i="3"/>
  <c r="N156" i="2"/>
  <c r="I254" i="3" s="1"/>
  <c r="L156" i="2"/>
  <c r="E254" i="3" s="1"/>
  <c r="J253" i="3"/>
  <c r="N155" i="2"/>
  <c r="I253" i="3" s="1"/>
  <c r="L155" i="2"/>
  <c r="E253" i="3" s="1"/>
  <c r="J252" i="3"/>
  <c r="N154" i="2"/>
  <c r="I252" i="3" s="1"/>
  <c r="L154" i="2"/>
  <c r="J251" i="3"/>
  <c r="N153" i="2"/>
  <c r="L153" i="2"/>
  <c r="E251" i="3" s="1"/>
  <c r="J250" i="3"/>
  <c r="N152" i="2"/>
  <c r="I250" i="3" s="1"/>
  <c r="L152" i="2"/>
  <c r="E250" i="3" s="1"/>
  <c r="N151" i="2"/>
  <c r="I249" i="3" s="1"/>
  <c r="L151" i="2"/>
  <c r="E249" i="3" s="1"/>
  <c r="J248" i="3"/>
  <c r="N150" i="2"/>
  <c r="I248" i="3" s="1"/>
  <c r="L150" i="2"/>
  <c r="E248" i="3" s="1"/>
  <c r="J247" i="3"/>
  <c r="N149" i="2"/>
  <c r="I247" i="3" s="1"/>
  <c r="L149" i="2"/>
  <c r="E247" i="3" s="1"/>
  <c r="J246" i="3"/>
  <c r="N148" i="2"/>
  <c r="I246" i="3" s="1"/>
  <c r="L148" i="2"/>
  <c r="E246" i="3" s="1"/>
  <c r="J245" i="3"/>
  <c r="N147" i="2"/>
  <c r="I245" i="3" s="1"/>
  <c r="L147" i="2"/>
  <c r="E245" i="3" s="1"/>
  <c r="N146" i="2"/>
  <c r="I244" i="3" s="1"/>
  <c r="L146" i="2"/>
  <c r="J243" i="3"/>
  <c r="N145" i="2"/>
  <c r="I243" i="3" s="1"/>
  <c r="L145" i="2"/>
  <c r="E243" i="3" s="1"/>
  <c r="J242" i="3"/>
  <c r="N144" i="2"/>
  <c r="L144" i="2"/>
  <c r="E242" i="3" s="1"/>
  <c r="J241" i="3"/>
  <c r="N143" i="2"/>
  <c r="I241" i="3" s="1"/>
  <c r="L143" i="2"/>
  <c r="E241" i="3" s="1"/>
  <c r="J240" i="3"/>
  <c r="N142" i="2"/>
  <c r="I240" i="3" s="1"/>
  <c r="L142" i="2"/>
  <c r="E240" i="3" s="1"/>
  <c r="J239" i="3"/>
  <c r="N141" i="2"/>
  <c r="I239" i="3" s="1"/>
  <c r="L141" i="2"/>
  <c r="E239" i="3" s="1"/>
  <c r="J238" i="3"/>
  <c r="N140" i="2"/>
  <c r="I238" i="3" s="1"/>
  <c r="L140" i="2"/>
  <c r="E238" i="3" s="1"/>
  <c r="N139" i="2"/>
  <c r="I237" i="3" s="1"/>
  <c r="L139" i="2"/>
  <c r="J236" i="3"/>
  <c r="N138" i="2"/>
  <c r="I236" i="3" s="1"/>
  <c r="L138" i="2"/>
  <c r="E236" i="3" s="1"/>
  <c r="J235" i="3"/>
  <c r="N137" i="2"/>
  <c r="I235" i="3" s="1"/>
  <c r="L137" i="2"/>
  <c r="E235" i="3" s="1"/>
  <c r="J234" i="3"/>
  <c r="N136" i="2"/>
  <c r="L136" i="2"/>
  <c r="E234" i="3" s="1"/>
  <c r="J233" i="3"/>
  <c r="N135" i="2"/>
  <c r="I233" i="3" s="1"/>
  <c r="L135" i="2"/>
  <c r="E233" i="3" s="1"/>
  <c r="J232" i="3"/>
  <c r="N134" i="2"/>
  <c r="I232" i="3" s="1"/>
  <c r="L134" i="2"/>
  <c r="E232" i="3" s="1"/>
  <c r="J231" i="3"/>
  <c r="N133" i="2"/>
  <c r="I231" i="3" s="1"/>
  <c r="L133" i="2"/>
  <c r="E231" i="3" s="1"/>
  <c r="J230" i="3"/>
  <c r="N132" i="2"/>
  <c r="I230" i="3" s="1"/>
  <c r="L132" i="2"/>
  <c r="E230" i="3" s="1"/>
  <c r="J229" i="3"/>
  <c r="N131" i="2"/>
  <c r="I229" i="3" s="1"/>
  <c r="L131" i="2"/>
  <c r="E229" i="3" s="1"/>
  <c r="J228" i="3"/>
  <c r="N130" i="2"/>
  <c r="I228" i="3" s="1"/>
  <c r="L130" i="2"/>
  <c r="J227" i="3"/>
  <c r="N129" i="2"/>
  <c r="L129" i="2"/>
  <c r="E227" i="3" s="1"/>
  <c r="J226" i="3"/>
  <c r="N128" i="2"/>
  <c r="I226" i="3" s="1"/>
  <c r="L128" i="2"/>
  <c r="E226" i="3" s="1"/>
  <c r="J225" i="3"/>
  <c r="N127" i="2"/>
  <c r="I225" i="3" s="1"/>
  <c r="L127" i="2"/>
  <c r="E225" i="3" s="1"/>
  <c r="J224" i="3"/>
  <c r="N126" i="2"/>
  <c r="I224" i="3" s="1"/>
  <c r="L126" i="2"/>
  <c r="E224" i="3" s="1"/>
  <c r="J223" i="3"/>
  <c r="N125" i="2"/>
  <c r="I223" i="3" s="1"/>
  <c r="L125" i="2"/>
  <c r="E223" i="3" s="1"/>
  <c r="J222" i="3"/>
  <c r="N124" i="2"/>
  <c r="I222" i="3" s="1"/>
  <c r="L124" i="2"/>
  <c r="E222" i="3" s="1"/>
  <c r="J221" i="3"/>
  <c r="N123" i="2"/>
  <c r="I221" i="3" s="1"/>
  <c r="L123" i="2"/>
  <c r="E221" i="3" s="1"/>
  <c r="N122" i="2"/>
  <c r="I220" i="3" s="1"/>
  <c r="L122" i="2"/>
  <c r="J219" i="3"/>
  <c r="N121" i="2"/>
  <c r="I219" i="3" s="1"/>
  <c r="L121" i="2"/>
  <c r="E219" i="3" s="1"/>
  <c r="J218" i="3"/>
  <c r="N120" i="2"/>
  <c r="L120" i="2"/>
  <c r="E218" i="3" s="1"/>
  <c r="J217" i="3"/>
  <c r="N119" i="2"/>
  <c r="I217" i="3" s="1"/>
  <c r="L119" i="2"/>
  <c r="E217" i="3" s="1"/>
  <c r="J216" i="3"/>
  <c r="N118" i="2"/>
  <c r="I216" i="3" s="1"/>
  <c r="L118" i="2"/>
  <c r="J215" i="3"/>
  <c r="N117" i="2"/>
  <c r="I215" i="3" s="1"/>
  <c r="L117" i="2"/>
  <c r="E215" i="3" s="1"/>
  <c r="J214" i="3"/>
  <c r="N116" i="2"/>
  <c r="I214" i="3" s="1"/>
  <c r="L116" i="2"/>
  <c r="E214" i="3" s="1"/>
  <c r="N115" i="2"/>
  <c r="I213" i="3" s="1"/>
  <c r="L115" i="2"/>
  <c r="J212" i="3"/>
  <c r="N114" i="2"/>
  <c r="I212" i="3" s="1"/>
  <c r="L114" i="2"/>
  <c r="E212" i="3" s="1"/>
  <c r="J211" i="3"/>
  <c r="N113" i="2"/>
  <c r="I211" i="3" s="1"/>
  <c r="L113" i="2"/>
  <c r="E211" i="3" s="1"/>
  <c r="J210" i="3"/>
  <c r="N112" i="2"/>
  <c r="L112" i="2"/>
  <c r="E210" i="3" s="1"/>
  <c r="J209" i="3"/>
  <c r="N111" i="2"/>
  <c r="I209" i="3" s="1"/>
  <c r="L111" i="2"/>
  <c r="E209" i="3" s="1"/>
  <c r="J208" i="3"/>
  <c r="N110" i="2"/>
  <c r="I208" i="3" s="1"/>
  <c r="L110" i="2"/>
  <c r="E208" i="3" s="1"/>
  <c r="J207" i="3"/>
  <c r="N109" i="2"/>
  <c r="I207" i="3" s="1"/>
  <c r="L109" i="2"/>
  <c r="E207" i="3" s="1"/>
  <c r="J206" i="3"/>
  <c r="N108" i="2"/>
  <c r="I206" i="3" s="1"/>
  <c r="L108" i="2"/>
  <c r="E206" i="3" s="1"/>
  <c r="J205" i="3"/>
  <c r="N107" i="2"/>
  <c r="I205" i="3" s="1"/>
  <c r="L107" i="2"/>
  <c r="E205" i="3" s="1"/>
  <c r="J204" i="3"/>
  <c r="N106" i="2"/>
  <c r="I204" i="3" s="1"/>
  <c r="L106" i="2"/>
  <c r="J203" i="3"/>
  <c r="N105" i="2"/>
  <c r="I203" i="3" s="1"/>
  <c r="L105" i="2"/>
  <c r="E203" i="3" s="1"/>
  <c r="J202" i="3"/>
  <c r="N104" i="2"/>
  <c r="I202" i="3" s="1"/>
  <c r="L104" i="2"/>
  <c r="E202" i="3" s="1"/>
  <c r="J201" i="3"/>
  <c r="N103" i="2"/>
  <c r="I201" i="3" s="1"/>
  <c r="L103" i="2"/>
  <c r="E201" i="3" s="1"/>
  <c r="J200" i="3"/>
  <c r="N102" i="2"/>
  <c r="I200" i="3" s="1"/>
  <c r="L102" i="2"/>
  <c r="E200" i="3" s="1"/>
  <c r="J199" i="3"/>
  <c r="N101" i="2"/>
  <c r="I199" i="3" s="1"/>
  <c r="L101" i="2"/>
  <c r="E199" i="3" s="1"/>
  <c r="J198" i="3"/>
  <c r="N100" i="2"/>
  <c r="I198" i="3" s="1"/>
  <c r="L100" i="2"/>
  <c r="E198" i="3" s="1"/>
  <c r="J197" i="3"/>
  <c r="N99" i="2"/>
  <c r="I197" i="3" s="1"/>
  <c r="L99" i="2"/>
  <c r="E197" i="3" s="1"/>
  <c r="N98" i="2"/>
  <c r="I196" i="3" s="1"/>
  <c r="L98" i="2"/>
  <c r="J195" i="3"/>
  <c r="N97" i="2"/>
  <c r="I195" i="3" s="1"/>
  <c r="L97" i="2"/>
  <c r="E195" i="3" s="1"/>
  <c r="J194" i="3"/>
  <c r="N96" i="2"/>
  <c r="L96" i="2"/>
  <c r="E194" i="3" s="1"/>
  <c r="J193" i="3"/>
  <c r="N95" i="2"/>
  <c r="I193" i="3" s="1"/>
  <c r="L95" i="2"/>
  <c r="E193" i="3" s="1"/>
  <c r="J192" i="3"/>
  <c r="N94" i="2"/>
  <c r="I192" i="3" s="1"/>
  <c r="L94" i="2"/>
  <c r="E192" i="3" s="1"/>
  <c r="J191" i="3"/>
  <c r="N93" i="2"/>
  <c r="I191" i="3" s="1"/>
  <c r="L93" i="2"/>
  <c r="E191" i="3" s="1"/>
  <c r="J190" i="3"/>
  <c r="N92" i="2"/>
  <c r="I190" i="3" s="1"/>
  <c r="L92" i="2"/>
  <c r="E190" i="3" s="1"/>
  <c r="N91" i="2"/>
  <c r="I189" i="3" s="1"/>
  <c r="L91" i="2"/>
  <c r="J188" i="3"/>
  <c r="N90" i="2"/>
  <c r="I188" i="3" s="1"/>
  <c r="L90" i="2"/>
  <c r="E188" i="3" s="1"/>
  <c r="J187" i="3"/>
  <c r="N89" i="2"/>
  <c r="I187" i="3" s="1"/>
  <c r="L89" i="2"/>
  <c r="E187" i="3" s="1"/>
  <c r="J186" i="3"/>
  <c r="N88" i="2"/>
  <c r="L88" i="2"/>
  <c r="E186" i="3" s="1"/>
  <c r="J185" i="3"/>
  <c r="N87" i="2"/>
  <c r="I185" i="3" s="1"/>
  <c r="L87" i="2"/>
  <c r="E185" i="3" s="1"/>
  <c r="J184" i="3"/>
  <c r="N86" i="2"/>
  <c r="I184" i="3" s="1"/>
  <c r="L86" i="2"/>
  <c r="E184" i="3" s="1"/>
  <c r="J183" i="3"/>
  <c r="N85" i="2"/>
  <c r="I183" i="3" s="1"/>
  <c r="L85" i="2"/>
  <c r="E183" i="3" s="1"/>
  <c r="J182" i="3"/>
  <c r="N84" i="2"/>
  <c r="I182" i="3" s="1"/>
  <c r="L84" i="2"/>
  <c r="E182" i="3" s="1"/>
  <c r="J181" i="3"/>
  <c r="N83" i="2"/>
  <c r="I181" i="3" s="1"/>
  <c r="L83" i="2"/>
  <c r="E181" i="3" s="1"/>
  <c r="J180" i="3"/>
  <c r="N82" i="2"/>
  <c r="I180" i="3" s="1"/>
  <c r="L82" i="2"/>
  <c r="J179" i="3"/>
  <c r="N81" i="2"/>
  <c r="I179" i="3" s="1"/>
  <c r="L81" i="2"/>
  <c r="E179" i="3" s="1"/>
  <c r="J178" i="3"/>
  <c r="N80" i="2"/>
  <c r="I178" i="3" s="1"/>
  <c r="L80" i="2"/>
  <c r="E178" i="3" s="1"/>
  <c r="J177" i="3"/>
  <c r="N79" i="2"/>
  <c r="I177" i="3" s="1"/>
  <c r="L79" i="2"/>
  <c r="E177" i="3" s="1"/>
  <c r="J176" i="3"/>
  <c r="N78" i="2"/>
  <c r="I176" i="3" s="1"/>
  <c r="L78" i="2"/>
  <c r="E176" i="3" s="1"/>
  <c r="J175" i="3"/>
  <c r="N77" i="2"/>
  <c r="I175" i="3" s="1"/>
  <c r="L77" i="2"/>
  <c r="E175" i="3" s="1"/>
  <c r="J174" i="3"/>
  <c r="N76" i="2"/>
  <c r="I174" i="3" s="1"/>
  <c r="L76" i="2"/>
  <c r="E174" i="3" s="1"/>
  <c r="J173" i="3"/>
  <c r="N75" i="2"/>
  <c r="I173" i="3" s="1"/>
  <c r="L75" i="2"/>
  <c r="E173" i="3" s="1"/>
  <c r="N74" i="2"/>
  <c r="I172" i="3" s="1"/>
  <c r="L74" i="2"/>
  <c r="J171" i="3"/>
  <c r="N73" i="2"/>
  <c r="I171" i="3" s="1"/>
  <c r="L73" i="2"/>
  <c r="E171" i="3" s="1"/>
  <c r="J170" i="3"/>
  <c r="N72" i="2"/>
  <c r="L72" i="2"/>
  <c r="E170" i="3" s="1"/>
  <c r="J169" i="3"/>
  <c r="N71" i="2"/>
  <c r="I169" i="3" s="1"/>
  <c r="L71" i="2"/>
  <c r="E169" i="3" s="1"/>
  <c r="J168" i="3"/>
  <c r="N70" i="2"/>
  <c r="I168" i="3" s="1"/>
  <c r="L70" i="2"/>
  <c r="E168" i="3" s="1"/>
  <c r="J167" i="3"/>
  <c r="N69" i="2"/>
  <c r="I167" i="3" s="1"/>
  <c r="L69" i="2"/>
  <c r="E167" i="3" s="1"/>
  <c r="J166" i="3"/>
  <c r="N68" i="2"/>
  <c r="I166" i="3" s="1"/>
  <c r="L68" i="2"/>
  <c r="E166" i="3" s="1"/>
  <c r="N67" i="2"/>
  <c r="I165" i="3" s="1"/>
  <c r="L67" i="2"/>
  <c r="J164" i="3"/>
  <c r="N66" i="2"/>
  <c r="I164" i="3" s="1"/>
  <c r="L66" i="2"/>
  <c r="E164" i="3" s="1"/>
  <c r="J163" i="3"/>
  <c r="N65" i="2"/>
  <c r="I163" i="3" s="1"/>
  <c r="L65" i="2"/>
  <c r="E163" i="3" s="1"/>
  <c r="J162" i="3"/>
  <c r="N64" i="2"/>
  <c r="L64" i="2"/>
  <c r="E162" i="3" s="1"/>
  <c r="J161" i="3"/>
  <c r="N63" i="2"/>
  <c r="I161" i="3" s="1"/>
  <c r="L63" i="2"/>
  <c r="E161" i="3" s="1"/>
  <c r="J160" i="3"/>
  <c r="N62" i="2"/>
  <c r="I160" i="3" s="1"/>
  <c r="L62" i="2"/>
  <c r="E160" i="3" s="1"/>
  <c r="J159" i="3"/>
  <c r="N61" i="2"/>
  <c r="I159" i="3" s="1"/>
  <c r="L61" i="2"/>
  <c r="E159" i="3" s="1"/>
  <c r="J158" i="3"/>
  <c r="N60" i="2"/>
  <c r="I158" i="3" s="1"/>
  <c r="L60" i="2"/>
  <c r="E158" i="3" s="1"/>
  <c r="J157" i="3"/>
  <c r="N59" i="2"/>
  <c r="I157" i="3" s="1"/>
  <c r="L59" i="2"/>
  <c r="E157" i="3" s="1"/>
  <c r="J156" i="3"/>
  <c r="N58" i="2"/>
  <c r="I156" i="3" s="1"/>
  <c r="L58" i="2"/>
  <c r="J155" i="3"/>
  <c r="N57" i="2"/>
  <c r="I155" i="3" s="1"/>
  <c r="L57" i="2"/>
  <c r="E155" i="3" s="1"/>
  <c r="J154" i="3"/>
  <c r="N56" i="2"/>
  <c r="I154" i="3" s="1"/>
  <c r="L56" i="2"/>
  <c r="E154" i="3" s="1"/>
  <c r="J153" i="3"/>
  <c r="N55" i="2"/>
  <c r="I153" i="3" s="1"/>
  <c r="L55" i="2"/>
  <c r="E153" i="3" s="1"/>
  <c r="J152" i="3"/>
  <c r="N54" i="2"/>
  <c r="I152" i="3" s="1"/>
  <c r="L54" i="2"/>
  <c r="E152" i="3" s="1"/>
  <c r="J151" i="3"/>
  <c r="N53" i="2"/>
  <c r="I151" i="3" s="1"/>
  <c r="L53" i="2"/>
  <c r="E151" i="3" s="1"/>
  <c r="J150" i="3"/>
  <c r="N52" i="2"/>
  <c r="I150" i="3" s="1"/>
  <c r="L52" i="2"/>
  <c r="E150" i="3" s="1"/>
  <c r="J149" i="3"/>
  <c r="N51" i="2"/>
  <c r="I149" i="3" s="1"/>
  <c r="L51" i="2"/>
  <c r="E149" i="3" s="1"/>
  <c r="N50" i="2"/>
  <c r="I148" i="3" s="1"/>
  <c r="L50" i="2"/>
  <c r="J147" i="3"/>
  <c r="N49" i="2"/>
  <c r="I147" i="3" s="1"/>
  <c r="L49" i="2"/>
  <c r="E147" i="3" s="1"/>
  <c r="J146" i="3"/>
  <c r="N48" i="2"/>
  <c r="I146" i="3" s="1"/>
  <c r="L48" i="2"/>
  <c r="E146" i="3" s="1"/>
  <c r="J145" i="3"/>
  <c r="N47" i="2"/>
  <c r="I145" i="3" s="1"/>
  <c r="L47" i="2"/>
  <c r="E145" i="3" s="1"/>
  <c r="J144" i="3"/>
  <c r="N46" i="2"/>
  <c r="I144" i="3" s="1"/>
  <c r="L46" i="2"/>
  <c r="E144" i="3" s="1"/>
  <c r="J143" i="3"/>
  <c r="N45" i="2"/>
  <c r="I143" i="3" s="1"/>
  <c r="L45" i="2"/>
  <c r="E143" i="3" s="1"/>
  <c r="J142" i="3"/>
  <c r="N44" i="2"/>
  <c r="I142" i="3" s="1"/>
  <c r="L44" i="2"/>
  <c r="E142" i="3" s="1"/>
  <c r="N43" i="2"/>
  <c r="I141" i="3" s="1"/>
  <c r="L43" i="2"/>
  <c r="J140" i="3"/>
  <c r="N42" i="2"/>
  <c r="I140" i="3" s="1"/>
  <c r="L42" i="2"/>
  <c r="E140" i="3" s="1"/>
  <c r="J139" i="3"/>
  <c r="N41" i="2"/>
  <c r="I139" i="3" s="1"/>
  <c r="L41" i="2"/>
  <c r="E139" i="3" s="1"/>
  <c r="J138" i="3"/>
  <c r="N40" i="2"/>
  <c r="I138" i="3" s="1"/>
  <c r="L40" i="2"/>
  <c r="E138" i="3" s="1"/>
  <c r="J137" i="3"/>
  <c r="N39" i="2"/>
  <c r="I137" i="3" s="1"/>
  <c r="L39" i="2"/>
  <c r="E137" i="3" s="1"/>
  <c r="J136" i="3"/>
  <c r="N38" i="2"/>
  <c r="I136" i="3" s="1"/>
  <c r="L38" i="2"/>
  <c r="J135" i="3"/>
  <c r="N37" i="2"/>
  <c r="I135" i="3" s="1"/>
  <c r="L37" i="2"/>
  <c r="E135" i="3" s="1"/>
  <c r="J134" i="3"/>
  <c r="N36" i="2"/>
  <c r="I134" i="3" s="1"/>
  <c r="L36" i="2"/>
  <c r="E134" i="3" s="1"/>
  <c r="J133" i="3"/>
  <c r="N35" i="2"/>
  <c r="I133" i="3" s="1"/>
  <c r="L35" i="2"/>
  <c r="E133" i="3" s="1"/>
  <c r="J132" i="3"/>
  <c r="N34" i="2"/>
  <c r="I132" i="3" s="1"/>
  <c r="L34" i="2"/>
  <c r="J131" i="3"/>
  <c r="N33" i="2"/>
  <c r="L33" i="2"/>
  <c r="E131" i="3" s="1"/>
  <c r="J130" i="3"/>
  <c r="N32" i="2"/>
  <c r="I130" i="3" s="1"/>
  <c r="L32" i="2"/>
  <c r="E130" i="3" s="1"/>
  <c r="J129" i="3"/>
  <c r="N31" i="2"/>
  <c r="I129" i="3" s="1"/>
  <c r="L31" i="2"/>
  <c r="E129" i="3" s="1"/>
  <c r="J128" i="3"/>
  <c r="N30" i="2"/>
  <c r="I128" i="3" s="1"/>
  <c r="L30" i="2"/>
  <c r="E128" i="3" s="1"/>
  <c r="J127" i="3"/>
  <c r="N29" i="2"/>
  <c r="I127" i="3" s="1"/>
  <c r="L29" i="2"/>
  <c r="E127" i="3" s="1"/>
  <c r="J126" i="3"/>
  <c r="N28" i="2"/>
  <c r="I126" i="3" s="1"/>
  <c r="L28" i="2"/>
  <c r="E126" i="3" s="1"/>
  <c r="J125" i="3"/>
  <c r="N27" i="2"/>
  <c r="I125" i="3" s="1"/>
  <c r="L27" i="2"/>
  <c r="E125" i="3" s="1"/>
  <c r="N26" i="2"/>
  <c r="I124" i="3" s="1"/>
  <c r="L26" i="2"/>
  <c r="J123" i="3"/>
  <c r="N25" i="2"/>
  <c r="I123" i="3" s="1"/>
  <c r="L25" i="2"/>
  <c r="E123" i="3" s="1"/>
  <c r="J122" i="3"/>
  <c r="N24" i="2"/>
  <c r="I122" i="3" s="1"/>
  <c r="L24" i="2"/>
  <c r="E122" i="3" s="1"/>
  <c r="J121" i="3"/>
  <c r="N23" i="2"/>
  <c r="I121" i="3" s="1"/>
  <c r="L23" i="2"/>
  <c r="E121" i="3" s="1"/>
  <c r="J120" i="3"/>
  <c r="N22" i="2"/>
  <c r="I120" i="3" s="1"/>
  <c r="L22" i="2"/>
  <c r="J119" i="3"/>
  <c r="N21" i="2"/>
  <c r="I119" i="3" s="1"/>
  <c r="L21" i="2"/>
  <c r="E119" i="3" s="1"/>
  <c r="J118" i="3"/>
  <c r="N20" i="2"/>
  <c r="I118" i="3" s="1"/>
  <c r="L20" i="2"/>
  <c r="E118" i="3" s="1"/>
  <c r="N19" i="2"/>
  <c r="I117" i="3" s="1"/>
  <c r="L19" i="2"/>
  <c r="J116" i="3"/>
  <c r="N18" i="2"/>
  <c r="I116" i="3" s="1"/>
  <c r="L18" i="2"/>
  <c r="J115" i="3"/>
  <c r="N17" i="2"/>
  <c r="I115" i="3" s="1"/>
  <c r="L17" i="2"/>
  <c r="E115" i="3" s="1"/>
  <c r="J114" i="3"/>
  <c r="N16" i="2"/>
  <c r="I114" i="3" s="1"/>
  <c r="L16" i="2"/>
  <c r="E114" i="3" s="1"/>
  <c r="J113" i="3"/>
  <c r="N15" i="2"/>
  <c r="I113" i="3" s="1"/>
  <c r="L15" i="2"/>
  <c r="E113" i="3" s="1"/>
  <c r="J112" i="3"/>
  <c r="N14" i="2"/>
  <c r="I112" i="3" s="1"/>
  <c r="L14" i="2"/>
  <c r="E112" i="3" s="1"/>
  <c r="J111" i="3"/>
  <c r="N13" i="2"/>
  <c r="I111" i="3" s="1"/>
  <c r="L13" i="2"/>
  <c r="E111" i="3" s="1"/>
  <c r="J110" i="3"/>
  <c r="N12" i="2"/>
  <c r="I110" i="3" s="1"/>
  <c r="L12" i="2"/>
  <c r="E110" i="3" s="1"/>
  <c r="J109" i="3"/>
  <c r="N11" i="2"/>
  <c r="I109" i="3" s="1"/>
  <c r="L11" i="2"/>
  <c r="J108" i="3"/>
  <c r="N10" i="2"/>
  <c r="I108" i="3" s="1"/>
  <c r="L10" i="2"/>
  <c r="J107" i="3"/>
  <c r="N9" i="2"/>
  <c r="I107" i="3" s="1"/>
  <c r="L9" i="2"/>
  <c r="E107" i="3" s="1"/>
  <c r="J106" i="3"/>
  <c r="N8" i="2"/>
  <c r="I106" i="3" s="1"/>
  <c r="L8" i="2"/>
  <c r="E106" i="3" s="1"/>
  <c r="J105" i="3"/>
  <c r="N7" i="2"/>
  <c r="I105" i="3" s="1"/>
  <c r="L7" i="2"/>
  <c r="E105" i="3" s="1"/>
  <c r="J104" i="3"/>
  <c r="N6" i="2"/>
  <c r="I104" i="3" s="1"/>
  <c r="L6" i="2"/>
  <c r="E104" i="3" s="1"/>
  <c r="J103" i="3"/>
  <c r="N5" i="2"/>
  <c r="I103" i="3" s="1"/>
  <c r="L5" i="2"/>
  <c r="E103" i="3" s="1"/>
  <c r="J102" i="3"/>
  <c r="N4" i="2"/>
  <c r="I102" i="3" s="1"/>
  <c r="L4" i="2"/>
  <c r="E102" i="3" s="1"/>
  <c r="J101" i="3"/>
  <c r="N3" i="2"/>
  <c r="I101" i="3" s="1"/>
  <c r="L3" i="2"/>
  <c r="E101" i="3" s="1"/>
  <c r="N2" i="2"/>
  <c r="I100" i="3" s="1"/>
  <c r="L2" i="2"/>
  <c r="E100" i="3" s="1"/>
  <c r="K2" i="2" a="1"/>
  <c r="K992" i="2" s="1"/>
  <c r="G339" i="3" l="1"/>
  <c r="G258" i="3"/>
  <c r="G161" i="3"/>
  <c r="G259" i="3"/>
  <c r="G162" i="3"/>
  <c r="G261" i="3"/>
  <c r="G268" i="3"/>
  <c r="G340" i="3"/>
  <c r="G246" i="3"/>
  <c r="G174" i="3"/>
  <c r="G177" i="3"/>
  <c r="G287" i="3"/>
  <c r="G180" i="3"/>
  <c r="G288" i="3"/>
  <c r="G184" i="3"/>
  <c r="G291" i="3"/>
  <c r="G143" i="3"/>
  <c r="G157" i="3"/>
  <c r="G173" i="3"/>
  <c r="G201" i="3"/>
  <c r="G293" i="3"/>
  <c r="G243" i="3"/>
  <c r="G244" i="3"/>
  <c r="G158" i="3"/>
  <c r="G286" i="3"/>
  <c r="G205" i="3"/>
  <c r="G299" i="3"/>
  <c r="G206" i="3"/>
  <c r="G301" i="3"/>
  <c r="G207" i="3"/>
  <c r="G302" i="3"/>
  <c r="G116" i="3"/>
  <c r="G208" i="3"/>
  <c r="G305" i="3"/>
  <c r="G347" i="3"/>
  <c r="G349" i="3"/>
  <c r="G265" i="3"/>
  <c r="G117" i="3"/>
  <c r="G214" i="3"/>
  <c r="G310" i="3"/>
  <c r="G121" i="3"/>
  <c r="G216" i="3"/>
  <c r="G328" i="3"/>
  <c r="G166" i="3"/>
  <c r="G122" i="3"/>
  <c r="G219" i="3"/>
  <c r="G331" i="3"/>
  <c r="G138" i="3"/>
  <c r="G215" i="3"/>
  <c r="G128" i="3"/>
  <c r="G228" i="3"/>
  <c r="G332" i="3"/>
  <c r="G132" i="3"/>
  <c r="G245" i="3"/>
  <c r="G118" i="3"/>
  <c r="G327" i="3"/>
  <c r="G131" i="3"/>
  <c r="G242" i="3"/>
  <c r="G334" i="3"/>
  <c r="K46" i="2"/>
  <c r="D144" i="3" s="1"/>
  <c r="K52" i="2"/>
  <c r="D150" i="3" s="1"/>
  <c r="K853" i="2"/>
  <c r="K638" i="2"/>
  <c r="K241" i="2"/>
  <c r="D339" i="3" s="1"/>
  <c r="K532" i="2"/>
  <c r="K440" i="2"/>
  <c r="K345" i="2"/>
  <c r="K950" i="2"/>
  <c r="K69" i="2"/>
  <c r="D167" i="3" s="1"/>
  <c r="K159" i="2"/>
  <c r="D257" i="3" s="1"/>
  <c r="K349" i="2"/>
  <c r="K447" i="2"/>
  <c r="K555" i="2"/>
  <c r="K653" i="2"/>
  <c r="K761" i="2"/>
  <c r="K954" i="2"/>
  <c r="K70" i="2"/>
  <c r="D168" i="3" s="1"/>
  <c r="K160" i="2"/>
  <c r="D258" i="3" s="1"/>
  <c r="K261" i="2"/>
  <c r="K357" i="2"/>
  <c r="K451" i="2"/>
  <c r="K559" i="2"/>
  <c r="K656" i="2"/>
  <c r="K763" i="2"/>
  <c r="K862" i="2"/>
  <c r="K960" i="2"/>
  <c r="K71" i="2"/>
  <c r="D169" i="3" s="1"/>
  <c r="K162" i="2"/>
  <c r="D260" i="3" s="1"/>
  <c r="K262" i="2"/>
  <c r="K358" i="2"/>
  <c r="K468" i="2"/>
  <c r="K560" i="2"/>
  <c r="K659" i="2"/>
  <c r="K769" i="2"/>
  <c r="K866" i="2"/>
  <c r="K973" i="2"/>
  <c r="K339" i="2"/>
  <c r="K938" i="2"/>
  <c r="K343" i="2"/>
  <c r="K738" i="2"/>
  <c r="K146" i="2"/>
  <c r="D244" i="3" s="1"/>
  <c r="K849" i="2"/>
  <c r="K553" i="2"/>
  <c r="K567" i="2"/>
  <c r="K978" i="2"/>
  <c r="K80" i="2"/>
  <c r="D178" i="3" s="1"/>
  <c r="K81" i="2"/>
  <c r="D179" i="3" s="1"/>
  <c r="K184" i="2"/>
  <c r="D282" i="3" s="1"/>
  <c r="K272" i="2"/>
  <c r="K366" i="2"/>
  <c r="K569" i="2"/>
  <c r="K680" i="2"/>
  <c r="K778" i="2"/>
  <c r="K979" i="2"/>
  <c r="K385" i="2"/>
  <c r="K538" i="2"/>
  <c r="K245" i="2"/>
  <c r="D343" i="3" s="1"/>
  <c r="K852" i="2"/>
  <c r="K257" i="2"/>
  <c r="K79" i="2"/>
  <c r="D177" i="3" s="1"/>
  <c r="K770" i="2"/>
  <c r="K182" i="2"/>
  <c r="D280" i="3" s="1"/>
  <c r="K266" i="2"/>
  <c r="K362" i="2"/>
  <c r="K679" i="2"/>
  <c r="K85" i="2"/>
  <c r="D183" i="3" s="1"/>
  <c r="K186" i="2"/>
  <c r="D284" i="3" s="1"/>
  <c r="K273" i="2"/>
  <c r="K477" i="2"/>
  <c r="K573" i="2"/>
  <c r="K683" i="2"/>
  <c r="K779" i="2"/>
  <c r="K890" i="2"/>
  <c r="K984" i="2"/>
  <c r="K2" i="2"/>
  <c r="D100" i="3" s="1"/>
  <c r="K88" i="2"/>
  <c r="D186" i="3" s="1"/>
  <c r="K187" i="2"/>
  <c r="D285" i="3" s="1"/>
  <c r="K275" i="2"/>
  <c r="K387" i="2"/>
  <c r="K482" i="2"/>
  <c r="K578" i="2"/>
  <c r="K686" i="2"/>
  <c r="K780" i="2"/>
  <c r="K893" i="2"/>
  <c r="K989" i="2"/>
  <c r="K847" i="2"/>
  <c r="K642" i="2"/>
  <c r="K263" i="2"/>
  <c r="K977" i="2"/>
  <c r="K771" i="2"/>
  <c r="K473" i="2"/>
  <c r="K430" i="2"/>
  <c r="K340" i="2"/>
  <c r="K64" i="2"/>
  <c r="D162" i="3" s="1"/>
  <c r="K744" i="2"/>
  <c r="K443" i="2"/>
  <c r="K4" i="2"/>
  <c r="D102" i="3" s="1"/>
  <c r="K486" i="2"/>
  <c r="K693" i="2"/>
  <c r="K787" i="2"/>
  <c r="K897" i="2"/>
  <c r="K983" i="2"/>
  <c r="K959" i="2"/>
  <c r="K935" i="2"/>
  <c r="K911" i="2"/>
  <c r="K887" i="2"/>
  <c r="K863" i="2"/>
  <c r="K839" i="2"/>
  <c r="K815" i="2"/>
  <c r="K791" i="2"/>
  <c r="K767" i="2"/>
  <c r="K743" i="2"/>
  <c r="K719" i="2"/>
  <c r="K695" i="2"/>
  <c r="K671" i="2"/>
  <c r="K647" i="2"/>
  <c r="K623" i="2"/>
  <c r="K599" i="2"/>
  <c r="K575" i="2"/>
  <c r="K551" i="2"/>
  <c r="K527" i="2"/>
  <c r="K503" i="2"/>
  <c r="K479" i="2"/>
  <c r="K455" i="2"/>
  <c r="K431" i="2"/>
  <c r="K407" i="2"/>
  <c r="K383" i="2"/>
  <c r="K359" i="2"/>
  <c r="K335" i="2"/>
  <c r="K311" i="2"/>
  <c r="K980" i="2"/>
  <c r="K956" i="2"/>
  <c r="K932" i="2"/>
  <c r="K908" i="2"/>
  <c r="K884" i="2"/>
  <c r="K860" i="2"/>
  <c r="K836" i="2"/>
  <c r="K812" i="2"/>
  <c r="K788" i="2"/>
  <c r="K764" i="2"/>
  <c r="K740" i="2"/>
  <c r="K716" i="2"/>
  <c r="K692" i="2"/>
  <c r="K668" i="2"/>
  <c r="K644" i="2"/>
  <c r="K620" i="2"/>
  <c r="K596" i="2"/>
  <c r="K572" i="2"/>
  <c r="K548" i="2"/>
  <c r="K524" i="2"/>
  <c r="K500" i="2"/>
  <c r="K476" i="2"/>
  <c r="K452" i="2"/>
  <c r="K428" i="2"/>
  <c r="K404" i="2"/>
  <c r="K380" i="2"/>
  <c r="K356" i="2"/>
  <c r="K332" i="2"/>
  <c r="K308" i="2"/>
  <c r="K284" i="2"/>
  <c r="K982" i="2"/>
  <c r="K955" i="2"/>
  <c r="K929" i="2"/>
  <c r="K903" i="2"/>
  <c r="K877" i="2"/>
  <c r="K851" i="2"/>
  <c r="K825" i="2"/>
  <c r="K799" i="2"/>
  <c r="K773" i="2"/>
  <c r="K747" i="2"/>
  <c r="K721" i="2"/>
  <c r="K694" i="2"/>
  <c r="K667" i="2"/>
  <c r="K641" i="2"/>
  <c r="K615" i="2"/>
  <c r="K589" i="2"/>
  <c r="K563" i="2"/>
  <c r="K537" i="2"/>
  <c r="K511" i="2"/>
  <c r="K485" i="2"/>
  <c r="K459" i="2"/>
  <c r="K433" i="2"/>
  <c r="K406" i="2"/>
  <c r="K379" i="2"/>
  <c r="K353" i="2"/>
  <c r="K327" i="2"/>
  <c r="K301" i="2"/>
  <c r="K276" i="2"/>
  <c r="K252" i="2"/>
  <c r="K228" i="2"/>
  <c r="D326" i="3" s="1"/>
  <c r="K204" i="2"/>
  <c r="D302" i="3" s="1"/>
  <c r="K180" i="2"/>
  <c r="D278" i="3" s="1"/>
  <c r="K156" i="2"/>
  <c r="D254" i="3" s="1"/>
  <c r="K132" i="2"/>
  <c r="D230" i="3" s="1"/>
  <c r="K108" i="2"/>
  <c r="D206" i="3" s="1"/>
  <c r="K84" i="2"/>
  <c r="D182" i="3" s="1"/>
  <c r="K60" i="2"/>
  <c r="D158" i="3" s="1"/>
  <c r="K36" i="2"/>
  <c r="D134" i="3" s="1"/>
  <c r="K12" i="2"/>
  <c r="D110" i="3" s="1"/>
  <c r="K998" i="2"/>
  <c r="K972" i="2"/>
  <c r="K946" i="2"/>
  <c r="K920" i="2"/>
  <c r="K894" i="2"/>
  <c r="K868" i="2"/>
  <c r="K842" i="2"/>
  <c r="K816" i="2"/>
  <c r="K789" i="2"/>
  <c r="K762" i="2"/>
  <c r="K736" i="2"/>
  <c r="K710" i="2"/>
  <c r="K684" i="2"/>
  <c r="K658" i="2"/>
  <c r="K632" i="2"/>
  <c r="K606" i="2"/>
  <c r="K580" i="2"/>
  <c r="K554" i="2"/>
  <c r="K528" i="2"/>
  <c r="K501" i="2"/>
  <c r="K474" i="2"/>
  <c r="K448" i="2"/>
  <c r="K422" i="2"/>
  <c r="K396" i="2"/>
  <c r="K370" i="2"/>
  <c r="K344" i="2"/>
  <c r="K318" i="2"/>
  <c r="K292" i="2"/>
  <c r="K267" i="2"/>
  <c r="K243" i="2"/>
  <c r="D341" i="3" s="1"/>
  <c r="K219" i="2"/>
  <c r="D317" i="3" s="1"/>
  <c r="K195" i="2"/>
  <c r="D293" i="3" s="1"/>
  <c r="K171" i="2"/>
  <c r="D269" i="3" s="1"/>
  <c r="K147" i="2"/>
  <c r="D245" i="3" s="1"/>
  <c r="K123" i="2"/>
  <c r="D221" i="3" s="1"/>
  <c r="K99" i="2"/>
  <c r="D197" i="3" s="1"/>
  <c r="K75" i="2"/>
  <c r="D173" i="3" s="1"/>
  <c r="K51" i="2"/>
  <c r="D149" i="3" s="1"/>
  <c r="K27" i="2"/>
  <c r="D125" i="3" s="1"/>
  <c r="K3" i="2"/>
  <c r="D101" i="3" s="1"/>
  <c r="K995" i="2"/>
  <c r="K969" i="2"/>
  <c r="K943" i="2"/>
  <c r="K917" i="2"/>
  <c r="K891" i="2"/>
  <c r="K865" i="2"/>
  <c r="K838" i="2"/>
  <c r="K811" i="2"/>
  <c r="K785" i="2"/>
  <c r="K759" i="2"/>
  <c r="K733" i="2"/>
  <c r="K707" i="2"/>
  <c r="K681" i="2"/>
  <c r="K655" i="2"/>
  <c r="K629" i="2"/>
  <c r="K603" i="2"/>
  <c r="K577" i="2"/>
  <c r="K550" i="2"/>
  <c r="K523" i="2"/>
  <c r="K497" i="2"/>
  <c r="K471" i="2"/>
  <c r="K445" i="2"/>
  <c r="K419" i="2"/>
  <c r="K393" i="2"/>
  <c r="K367" i="2"/>
  <c r="K341" i="2"/>
  <c r="K315" i="2"/>
  <c r="K289" i="2"/>
  <c r="K264" i="2"/>
  <c r="K240" i="2"/>
  <c r="D338" i="3" s="1"/>
  <c r="K216" i="2"/>
  <c r="D314" i="3" s="1"/>
  <c r="K192" i="2"/>
  <c r="D290" i="3" s="1"/>
  <c r="K168" i="2"/>
  <c r="D266" i="3" s="1"/>
  <c r="K144" i="2"/>
  <c r="D242" i="3" s="1"/>
  <c r="K120" i="2"/>
  <c r="D218" i="3" s="1"/>
  <c r="K96" i="2"/>
  <c r="D194" i="3" s="1"/>
  <c r="K72" i="2"/>
  <c r="D170" i="3" s="1"/>
  <c r="K48" i="2"/>
  <c r="D146" i="3" s="1"/>
  <c r="K24" i="2"/>
  <c r="D122" i="3" s="1"/>
  <c r="K991" i="2"/>
  <c r="K962" i="2"/>
  <c r="K931" i="2"/>
  <c r="K901" i="2"/>
  <c r="K872" i="2"/>
  <c r="K843" i="2"/>
  <c r="K810" i="2"/>
  <c r="K781" i="2"/>
  <c r="K752" i="2"/>
  <c r="K723" i="2"/>
  <c r="K691" i="2"/>
  <c r="K662" i="2"/>
  <c r="K633" i="2"/>
  <c r="K602" i="2"/>
  <c r="K571" i="2"/>
  <c r="K542" i="2"/>
  <c r="K513" i="2"/>
  <c r="K483" i="2"/>
  <c r="K453" i="2"/>
  <c r="K423" i="2"/>
  <c r="K392" i="2"/>
  <c r="K363" i="2"/>
  <c r="K333" i="2"/>
  <c r="K303" i="2"/>
  <c r="K274" i="2"/>
  <c r="K247" i="2"/>
  <c r="D345" i="3" s="1"/>
  <c r="K220" i="2"/>
  <c r="D318" i="3" s="1"/>
  <c r="K191" i="2"/>
  <c r="D289" i="3" s="1"/>
  <c r="K164" i="2"/>
  <c r="D262" i="3" s="1"/>
  <c r="K137" i="2"/>
  <c r="D235" i="3" s="1"/>
  <c r="K110" i="2"/>
  <c r="D208" i="3" s="1"/>
  <c r="K82" i="2"/>
  <c r="D180" i="3" s="1"/>
  <c r="K55" i="2"/>
  <c r="D153" i="3" s="1"/>
  <c r="K28" i="2"/>
  <c r="D126" i="3" s="1"/>
  <c r="K985" i="2"/>
  <c r="K953" i="2"/>
  <c r="K924" i="2"/>
  <c r="K895" i="2"/>
  <c r="K864" i="2"/>
  <c r="K833" i="2"/>
  <c r="K804" i="2"/>
  <c r="K775" i="2"/>
  <c r="K745" i="2"/>
  <c r="K714" i="2"/>
  <c r="K685" i="2"/>
  <c r="K654" i="2"/>
  <c r="K625" i="2"/>
  <c r="K594" i="2"/>
  <c r="K565" i="2"/>
  <c r="K535" i="2"/>
  <c r="K506" i="2"/>
  <c r="K475" i="2"/>
  <c r="K444" i="2"/>
  <c r="K415" i="2"/>
  <c r="K386" i="2"/>
  <c r="K355" i="2"/>
  <c r="K325" i="2"/>
  <c r="K296" i="2"/>
  <c r="K268" i="2"/>
  <c r="K239" i="2"/>
  <c r="D337" i="3" s="1"/>
  <c r="K212" i="2"/>
  <c r="D310" i="3" s="1"/>
  <c r="K185" i="2"/>
  <c r="D283" i="3" s="1"/>
  <c r="K158" i="2"/>
  <c r="D256" i="3" s="1"/>
  <c r="K130" i="2"/>
  <c r="D228" i="3" s="1"/>
  <c r="K103" i="2"/>
  <c r="D201" i="3" s="1"/>
  <c r="K76" i="2"/>
  <c r="D174" i="3" s="1"/>
  <c r="K47" i="2"/>
  <c r="D145" i="3" s="1"/>
  <c r="K20" i="2"/>
  <c r="D118" i="3" s="1"/>
  <c r="K981" i="2"/>
  <c r="K951" i="2"/>
  <c r="K922" i="2"/>
  <c r="K892" i="2"/>
  <c r="K861" i="2"/>
  <c r="K831" i="2"/>
  <c r="K802" i="2"/>
  <c r="K772" i="2"/>
  <c r="K742" i="2"/>
  <c r="K712" i="2"/>
  <c r="K682" i="2"/>
  <c r="K652" i="2"/>
  <c r="K622" i="2"/>
  <c r="K592" i="2"/>
  <c r="K562" i="2"/>
  <c r="K533" i="2"/>
  <c r="K504" i="2"/>
  <c r="K472" i="2"/>
  <c r="K442" i="2"/>
  <c r="K413" i="2"/>
  <c r="K384" i="2"/>
  <c r="K352" i="2"/>
  <c r="K323" i="2"/>
  <c r="K294" i="2"/>
  <c r="K265" i="2"/>
  <c r="K237" i="2"/>
  <c r="D335" i="3" s="1"/>
  <c r="K210" i="2"/>
  <c r="D308" i="3" s="1"/>
  <c r="K183" i="2"/>
  <c r="D281" i="3" s="1"/>
  <c r="K155" i="2"/>
  <c r="D253" i="3" s="1"/>
  <c r="K128" i="2"/>
  <c r="D226" i="3" s="1"/>
  <c r="K101" i="2"/>
  <c r="D199" i="3" s="1"/>
  <c r="K73" i="2"/>
  <c r="D171" i="3" s="1"/>
  <c r="K45" i="2"/>
  <c r="D143" i="3" s="1"/>
  <c r="K18" i="2"/>
  <c r="D116" i="3" s="1"/>
  <c r="K976" i="2"/>
  <c r="K947" i="2"/>
  <c r="K916" i="2"/>
  <c r="K886" i="2"/>
  <c r="K856" i="2"/>
  <c r="K827" i="2"/>
  <c r="K797" i="2"/>
  <c r="K768" i="2"/>
  <c r="K737" i="2"/>
  <c r="K706" i="2"/>
  <c r="K677" i="2"/>
  <c r="K648" i="2"/>
  <c r="K617" i="2"/>
  <c r="K587" i="2"/>
  <c r="K558" i="2"/>
  <c r="K529" i="2"/>
  <c r="K496" i="2"/>
  <c r="K467" i="2"/>
  <c r="K438" i="2"/>
  <c r="K409" i="2"/>
  <c r="K377" i="2"/>
  <c r="K348" i="2"/>
  <c r="K319" i="2"/>
  <c r="K288" i="2"/>
  <c r="K260" i="2"/>
  <c r="K233" i="2"/>
  <c r="D331" i="3" s="1"/>
  <c r="K206" i="2"/>
  <c r="D304" i="3" s="1"/>
  <c r="K178" i="2"/>
  <c r="D276" i="3" s="1"/>
  <c r="K151" i="2"/>
  <c r="D249" i="3" s="1"/>
  <c r="K124" i="2"/>
  <c r="D222" i="3" s="1"/>
  <c r="K95" i="2"/>
  <c r="D193" i="3" s="1"/>
  <c r="K68" i="2"/>
  <c r="D166" i="3" s="1"/>
  <c r="K41" i="2"/>
  <c r="D139" i="3" s="1"/>
  <c r="K14" i="2"/>
  <c r="D112" i="3" s="1"/>
  <c r="K705" i="2"/>
  <c r="K466" i="2"/>
  <c r="K287" i="2"/>
  <c r="K150" i="2"/>
  <c r="D248" i="3" s="1"/>
  <c r="K67" i="2"/>
  <c r="D165" i="3" s="1"/>
  <c r="K13" i="2"/>
  <c r="D111" i="3" s="1"/>
  <c r="K675" i="2"/>
  <c r="K975" i="2"/>
  <c r="K945" i="2"/>
  <c r="K915" i="2"/>
  <c r="K885" i="2"/>
  <c r="K855" i="2"/>
  <c r="K826" i="2"/>
  <c r="K796" i="2"/>
  <c r="K766" i="2"/>
  <c r="K735" i="2"/>
  <c r="K676" i="2"/>
  <c r="K646" i="2"/>
  <c r="K616" i="2"/>
  <c r="K586" i="2"/>
  <c r="K557" i="2"/>
  <c r="K526" i="2"/>
  <c r="K495" i="2"/>
  <c r="K437" i="2"/>
  <c r="K408" i="2"/>
  <c r="K376" i="2"/>
  <c r="K347" i="2"/>
  <c r="K317" i="2"/>
  <c r="K259" i="2"/>
  <c r="K232" i="2"/>
  <c r="D330" i="3" s="1"/>
  <c r="K205" i="2"/>
  <c r="D303" i="3" s="1"/>
  <c r="K177" i="2"/>
  <c r="D275" i="3" s="1"/>
  <c r="K122" i="2"/>
  <c r="D220" i="3" s="1"/>
  <c r="K94" i="2"/>
  <c r="D192" i="3" s="1"/>
  <c r="K40" i="2"/>
  <c r="D138" i="3" s="1"/>
  <c r="K914" i="2"/>
  <c r="K66" i="2"/>
  <c r="D164" i="3" s="1"/>
  <c r="K974" i="2"/>
  <c r="K944" i="2"/>
  <c r="K883" i="2"/>
  <c r="K854" i="2"/>
  <c r="K824" i="2"/>
  <c r="K795" i="2"/>
  <c r="K765" i="2"/>
  <c r="K734" i="2"/>
  <c r="K704" i="2"/>
  <c r="K645" i="2"/>
  <c r="K614" i="2"/>
  <c r="K585" i="2"/>
  <c r="K556" i="2"/>
  <c r="K525" i="2"/>
  <c r="K494" i="2"/>
  <c r="K465" i="2"/>
  <c r="K436" i="2"/>
  <c r="K405" i="2"/>
  <c r="K375" i="2"/>
  <c r="K346" i="2"/>
  <c r="K316" i="2"/>
  <c r="K286" i="2"/>
  <c r="K258" i="2"/>
  <c r="K231" i="2"/>
  <c r="D329" i="3" s="1"/>
  <c r="K203" i="2"/>
  <c r="D301" i="3" s="1"/>
  <c r="K176" i="2"/>
  <c r="D274" i="3" s="1"/>
  <c r="K149" i="2"/>
  <c r="D247" i="3" s="1"/>
  <c r="K121" i="2"/>
  <c r="D219" i="3" s="1"/>
  <c r="K93" i="2"/>
  <c r="D191" i="3" s="1"/>
  <c r="K39" i="2"/>
  <c r="D137" i="3" s="1"/>
  <c r="K11" i="2"/>
  <c r="D109" i="3" s="1"/>
  <c r="K970" i="2"/>
  <c r="K940" i="2"/>
  <c r="K910" i="2"/>
  <c r="K880" i="2"/>
  <c r="K850" i="2"/>
  <c r="K821" i="2"/>
  <c r="K792" i="2"/>
  <c r="K760" i="2"/>
  <c r="K730" i="2"/>
  <c r="K701" i="2"/>
  <c r="K672" i="2"/>
  <c r="K640" i="2"/>
  <c r="K611" i="2"/>
  <c r="K582" i="2"/>
  <c r="K552" i="2"/>
  <c r="K520" i="2"/>
  <c r="K491" i="2"/>
  <c r="K462" i="2"/>
  <c r="K432" i="2"/>
  <c r="K401" i="2"/>
  <c r="K372" i="2"/>
  <c r="K342" i="2"/>
  <c r="K312" i="2"/>
  <c r="K282" i="2"/>
  <c r="K255" i="2"/>
  <c r="K227" i="2"/>
  <c r="D325" i="3" s="1"/>
  <c r="K200" i="2"/>
  <c r="D298" i="3" s="1"/>
  <c r="K173" i="2"/>
  <c r="D271" i="3" s="1"/>
  <c r="K145" i="2"/>
  <c r="D243" i="3" s="1"/>
  <c r="K117" i="2"/>
  <c r="D215" i="3" s="1"/>
  <c r="K90" i="2"/>
  <c r="D188" i="3" s="1"/>
  <c r="K63" i="2"/>
  <c r="D161" i="3" s="1"/>
  <c r="K35" i="2"/>
  <c r="D133" i="3" s="1"/>
  <c r="K8" i="2"/>
  <c r="D106" i="3" s="1"/>
  <c r="K988" i="2"/>
  <c r="K942" i="2"/>
  <c r="K902" i="2"/>
  <c r="K859" i="2"/>
  <c r="K818" i="2"/>
  <c r="K777" i="2"/>
  <c r="K731" i="2"/>
  <c r="K690" i="2"/>
  <c r="K650" i="2"/>
  <c r="K607" i="2"/>
  <c r="K566" i="2"/>
  <c r="K519" i="2"/>
  <c r="K481" i="2"/>
  <c r="K439" i="2"/>
  <c r="K395" i="2"/>
  <c r="K354" i="2"/>
  <c r="K309" i="2"/>
  <c r="K271" i="2"/>
  <c r="K230" i="2"/>
  <c r="D328" i="3" s="1"/>
  <c r="K193" i="2"/>
  <c r="D291" i="3" s="1"/>
  <c r="K154" i="2"/>
  <c r="D252" i="3" s="1"/>
  <c r="K114" i="2"/>
  <c r="D212" i="3" s="1"/>
  <c r="K78" i="2"/>
  <c r="D176" i="3" s="1"/>
  <c r="K37" i="2"/>
  <c r="D135" i="3" s="1"/>
  <c r="K986" i="2"/>
  <c r="K939" i="2"/>
  <c r="K857" i="2"/>
  <c r="K814" i="2"/>
  <c r="K774" i="2"/>
  <c r="K728" i="2"/>
  <c r="K643" i="2"/>
  <c r="K604" i="2"/>
  <c r="K561" i="2"/>
  <c r="K517" i="2"/>
  <c r="K478" i="2"/>
  <c r="K434" i="2"/>
  <c r="K350" i="2"/>
  <c r="K269" i="2"/>
  <c r="K226" i="2"/>
  <c r="D324" i="3" s="1"/>
  <c r="K189" i="2"/>
  <c r="D287" i="3" s="1"/>
  <c r="K152" i="2"/>
  <c r="D250" i="3" s="1"/>
  <c r="K112" i="2"/>
  <c r="D210" i="3" s="1"/>
  <c r="K74" i="2"/>
  <c r="D172" i="3" s="1"/>
  <c r="K33" i="2"/>
  <c r="D131" i="3" s="1"/>
  <c r="K987" i="2"/>
  <c r="K941" i="2"/>
  <c r="K900" i="2"/>
  <c r="K858" i="2"/>
  <c r="K817" i="2"/>
  <c r="K776" i="2"/>
  <c r="K729" i="2"/>
  <c r="K689" i="2"/>
  <c r="K649" i="2"/>
  <c r="K605" i="2"/>
  <c r="K564" i="2"/>
  <c r="K518" i="2"/>
  <c r="K480" i="2"/>
  <c r="K435" i="2"/>
  <c r="K394" i="2"/>
  <c r="K351" i="2"/>
  <c r="K307" i="2"/>
  <c r="K270" i="2"/>
  <c r="K229" i="2"/>
  <c r="D327" i="3" s="1"/>
  <c r="K190" i="2"/>
  <c r="D288" i="3" s="1"/>
  <c r="K153" i="2"/>
  <c r="D251" i="3" s="1"/>
  <c r="K113" i="2"/>
  <c r="D211" i="3" s="1"/>
  <c r="K77" i="2"/>
  <c r="D175" i="3" s="1"/>
  <c r="K34" i="2"/>
  <c r="D132" i="3" s="1"/>
  <c r="K688" i="2"/>
  <c r="K306" i="2"/>
  <c r="K899" i="2"/>
  <c r="K391" i="2"/>
  <c r="K971" i="2"/>
  <c r="K930" i="2"/>
  <c r="K889" i="2"/>
  <c r="K846" i="2"/>
  <c r="K805" i="2"/>
  <c r="K758" i="2"/>
  <c r="K720" i="2"/>
  <c r="K678" i="2"/>
  <c r="K635" i="2"/>
  <c r="K593" i="2"/>
  <c r="K547" i="2"/>
  <c r="K509" i="2"/>
  <c r="K464" i="2"/>
  <c r="K424" i="2"/>
  <c r="K382" i="2"/>
  <c r="K338" i="2"/>
  <c r="K298" i="2"/>
  <c r="K256" i="2"/>
  <c r="K218" i="2"/>
  <c r="D316" i="3" s="1"/>
  <c r="K181" i="2"/>
  <c r="D279" i="3" s="1"/>
  <c r="K140" i="2"/>
  <c r="D238" i="3" s="1"/>
  <c r="K104" i="2"/>
  <c r="D202" i="3" s="1"/>
  <c r="K62" i="2"/>
  <c r="D160" i="3" s="1"/>
  <c r="K25" i="2"/>
  <c r="D123" i="3" s="1"/>
  <c r="K254" i="2"/>
  <c r="K179" i="2"/>
  <c r="D277" i="3" s="1"/>
  <c r="K102" i="2"/>
  <c r="D200" i="3" s="1"/>
  <c r="K61" i="2"/>
  <c r="D159" i="3" s="1"/>
  <c r="K23" i="2"/>
  <c r="D121" i="3" s="1"/>
  <c r="K927" i="2"/>
  <c r="K631" i="2"/>
  <c r="K336" i="2"/>
  <c r="K59" i="2"/>
  <c r="D157" i="3" s="1"/>
  <c r="K964" i="2"/>
  <c r="K753" i="2"/>
  <c r="K416" i="2"/>
  <c r="K968" i="2"/>
  <c r="K928" i="2"/>
  <c r="K888" i="2"/>
  <c r="K845" i="2"/>
  <c r="K803" i="2"/>
  <c r="K757" i="2"/>
  <c r="K718" i="2"/>
  <c r="K674" i="2"/>
  <c r="K634" i="2"/>
  <c r="K591" i="2"/>
  <c r="K546" i="2"/>
  <c r="K508" i="2"/>
  <c r="K463" i="2"/>
  <c r="K421" i="2"/>
  <c r="K381" i="2"/>
  <c r="K337" i="2"/>
  <c r="K297" i="2"/>
  <c r="K217" i="2"/>
  <c r="D315" i="3" s="1"/>
  <c r="K139" i="2"/>
  <c r="D237" i="3" s="1"/>
  <c r="K967" i="2"/>
  <c r="K882" i="2"/>
  <c r="K801" i="2"/>
  <c r="K756" i="2"/>
  <c r="K717" i="2"/>
  <c r="K673" i="2"/>
  <c r="K545" i="2"/>
  <c r="K507" i="2"/>
  <c r="K461" i="2"/>
  <c r="K378" i="2"/>
  <c r="K295" i="2"/>
  <c r="K215" i="2"/>
  <c r="D313" i="3" s="1"/>
  <c r="K175" i="2"/>
  <c r="D273" i="3" s="1"/>
  <c r="K100" i="2"/>
  <c r="D198" i="3" s="1"/>
  <c r="K22" i="2"/>
  <c r="D120" i="3" s="1"/>
  <c r="K330" i="2"/>
  <c r="K844" i="2"/>
  <c r="K590" i="2"/>
  <c r="K420" i="2"/>
  <c r="K253" i="2"/>
  <c r="K138" i="2"/>
  <c r="D236" i="3" s="1"/>
  <c r="K211" i="2"/>
  <c r="D309" i="3" s="1"/>
  <c r="K966" i="2"/>
  <c r="K926" i="2"/>
  <c r="K881" i="2"/>
  <c r="K841" i="2"/>
  <c r="K800" i="2"/>
  <c r="K755" i="2"/>
  <c r="K715" i="2"/>
  <c r="K670" i="2"/>
  <c r="K630" i="2"/>
  <c r="K588" i="2"/>
  <c r="K544" i="2"/>
  <c r="K505" i="2"/>
  <c r="K460" i="2"/>
  <c r="K418" i="2"/>
  <c r="K374" i="2"/>
  <c r="K334" i="2"/>
  <c r="K293" i="2"/>
  <c r="K251" i="2"/>
  <c r="D349" i="3" s="1"/>
  <c r="K214" i="2"/>
  <c r="D312" i="3" s="1"/>
  <c r="K174" i="2"/>
  <c r="D272" i="3" s="1"/>
  <c r="K136" i="2"/>
  <c r="D234" i="3" s="1"/>
  <c r="K98" i="2"/>
  <c r="D196" i="3" s="1"/>
  <c r="K58" i="2"/>
  <c r="D156" i="3" s="1"/>
  <c r="K21" i="2"/>
  <c r="D119" i="3" s="1"/>
  <c r="K965" i="2"/>
  <c r="K879" i="2"/>
  <c r="K798" i="2"/>
  <c r="K713" i="2"/>
  <c r="K628" i="2"/>
  <c r="K584" i="2"/>
  <c r="K502" i="2"/>
  <c r="K417" i="2"/>
  <c r="K331" i="2"/>
  <c r="K250" i="2"/>
  <c r="D348" i="3" s="1"/>
  <c r="K172" i="2"/>
  <c r="D270" i="3" s="1"/>
  <c r="K97" i="2"/>
  <c r="D195" i="3" s="1"/>
  <c r="K19" i="2"/>
  <c r="D117" i="3" s="1"/>
  <c r="K794" i="2"/>
  <c r="K627" i="2"/>
  <c r="K499" i="2"/>
  <c r="K290" i="2"/>
  <c r="K134" i="2"/>
  <c r="D232" i="3" s="1"/>
  <c r="K17" i="2"/>
  <c r="D115" i="3" s="1"/>
  <c r="K925" i="2"/>
  <c r="K840" i="2"/>
  <c r="K754" i="2"/>
  <c r="K669" i="2"/>
  <c r="K543" i="2"/>
  <c r="K458" i="2"/>
  <c r="K373" i="2"/>
  <c r="K291" i="2"/>
  <c r="K213" i="2"/>
  <c r="D311" i="3" s="1"/>
  <c r="K135" i="2"/>
  <c r="D233" i="3" s="1"/>
  <c r="K57" i="2"/>
  <c r="D155" i="3" s="1"/>
  <c r="K878" i="2"/>
  <c r="K666" i="2"/>
  <c r="K541" i="2"/>
  <c r="K371" i="2"/>
  <c r="K170" i="2"/>
  <c r="D268" i="3" s="1"/>
  <c r="K92" i="2"/>
  <c r="D190" i="3" s="1"/>
  <c r="K923" i="2"/>
  <c r="K837" i="2"/>
  <c r="K711" i="2"/>
  <c r="K583" i="2"/>
  <c r="K457" i="2"/>
  <c r="K249" i="2"/>
  <c r="D347" i="3" s="1"/>
  <c r="K56" i="2"/>
  <c r="D154" i="3" s="1"/>
  <c r="K963" i="2"/>
  <c r="K921" i="2"/>
  <c r="K876" i="2"/>
  <c r="K835" i="2"/>
  <c r="K793" i="2"/>
  <c r="K751" i="2"/>
  <c r="K709" i="2"/>
  <c r="K665" i="2"/>
  <c r="K626" i="2"/>
  <c r="K581" i="2"/>
  <c r="K540" i="2"/>
  <c r="K498" i="2"/>
  <c r="K456" i="2"/>
  <c r="K414" i="2"/>
  <c r="K369" i="2"/>
  <c r="K329" i="2"/>
  <c r="K285" i="2"/>
  <c r="K248" i="2"/>
  <c r="D346" i="3" s="1"/>
  <c r="K209" i="2"/>
  <c r="D307" i="3" s="1"/>
  <c r="K169" i="2"/>
  <c r="D267" i="3" s="1"/>
  <c r="K133" i="2"/>
  <c r="D231" i="3" s="1"/>
  <c r="K91" i="2"/>
  <c r="D189" i="3" s="1"/>
  <c r="K54" i="2"/>
  <c r="D152" i="3" s="1"/>
  <c r="K16" i="2"/>
  <c r="D114" i="3" s="1"/>
  <c r="K961" i="2"/>
  <c r="K919" i="2"/>
  <c r="K875" i="2"/>
  <c r="K834" i="2"/>
  <c r="K790" i="2"/>
  <c r="K750" i="2"/>
  <c r="K708" i="2"/>
  <c r="K664" i="2"/>
  <c r="K624" i="2"/>
  <c r="K579" i="2"/>
  <c r="K539" i="2"/>
  <c r="K493" i="2"/>
  <c r="K454" i="2"/>
  <c r="K412" i="2"/>
  <c r="K368" i="2"/>
  <c r="K328" i="2"/>
  <c r="K283" i="2"/>
  <c r="K246" i="2"/>
  <c r="D344" i="3" s="1"/>
  <c r="K208" i="2"/>
  <c r="D306" i="3" s="1"/>
  <c r="K167" i="2"/>
  <c r="D265" i="3" s="1"/>
  <c r="K131" i="2"/>
  <c r="D229" i="3" s="1"/>
  <c r="K89" i="2"/>
  <c r="D187" i="3" s="1"/>
  <c r="K53" i="2"/>
  <c r="D151" i="3" s="1"/>
  <c r="K15" i="2"/>
  <c r="D113" i="3" s="1"/>
  <c r="K997" i="2"/>
  <c r="K958" i="2"/>
  <c r="K913" i="2"/>
  <c r="K873" i="2"/>
  <c r="K830" i="2"/>
  <c r="K786" i="2"/>
  <c r="K748" i="2"/>
  <c r="K702" i="2"/>
  <c r="K661" i="2"/>
  <c r="K619" i="2"/>
  <c r="K576" i="2"/>
  <c r="K536" i="2"/>
  <c r="K490" i="2"/>
  <c r="K450" i="2"/>
  <c r="K410" i="2"/>
  <c r="K365" i="2"/>
  <c r="K324" i="2"/>
  <c r="K280" i="2"/>
  <c r="K244" i="2"/>
  <c r="D342" i="3" s="1"/>
  <c r="K202" i="2"/>
  <c r="D300" i="3" s="1"/>
  <c r="K165" i="2"/>
  <c r="D263" i="3" s="1"/>
  <c r="K127" i="2"/>
  <c r="D225" i="3" s="1"/>
  <c r="K87" i="2"/>
  <c r="D185" i="3" s="1"/>
  <c r="K50" i="2"/>
  <c r="D148" i="3" s="1"/>
  <c r="K9" i="2"/>
  <c r="D107" i="3" s="1"/>
  <c r="K957" i="2"/>
  <c r="K912" i="2"/>
  <c r="K871" i="2"/>
  <c r="K784" i="2"/>
  <c r="K746" i="2"/>
  <c r="K700" i="2"/>
  <c r="K618" i="2"/>
  <c r="K574" i="2"/>
  <c r="K534" i="2"/>
  <c r="K489" i="2"/>
  <c r="K403" i="2"/>
  <c r="K364" i="2"/>
  <c r="K322" i="2"/>
  <c r="K279" i="2"/>
  <c r="K242" i="2"/>
  <c r="D340" i="3" s="1"/>
  <c r="K201" i="2"/>
  <c r="D299" i="3" s="1"/>
  <c r="K163" i="2"/>
  <c r="D261" i="3" s="1"/>
  <c r="K86" i="2"/>
  <c r="D184" i="3" s="1"/>
  <c r="K49" i="2"/>
  <c r="D147" i="3" s="1"/>
  <c r="K7" i="2"/>
  <c r="D105" i="3" s="1"/>
  <c r="K996" i="2"/>
  <c r="K829" i="2"/>
  <c r="K660" i="2"/>
  <c r="K449" i="2"/>
  <c r="K126" i="2"/>
  <c r="D224" i="3" s="1"/>
  <c r="K993" i="2"/>
  <c r="K952" i="2"/>
  <c r="K907" i="2"/>
  <c r="K869" i="2"/>
  <c r="K823" i="2"/>
  <c r="K782" i="2"/>
  <c r="K741" i="2"/>
  <c r="K698" i="2"/>
  <c r="K657" i="2"/>
  <c r="K612" i="2"/>
  <c r="K570" i="2"/>
  <c r="K531" i="2"/>
  <c r="K487" i="2"/>
  <c r="K446" i="2"/>
  <c r="K400" i="2"/>
  <c r="K361" i="2"/>
  <c r="K320" i="2"/>
  <c r="K277" i="2"/>
  <c r="K238" i="2"/>
  <c r="D336" i="3" s="1"/>
  <c r="K198" i="2"/>
  <c r="D296" i="3" s="1"/>
  <c r="K161" i="2"/>
  <c r="D259" i="3" s="1"/>
  <c r="K119" i="2"/>
  <c r="D217" i="3" s="1"/>
  <c r="K83" i="2"/>
  <c r="D181" i="3" s="1"/>
  <c r="K44" i="2"/>
  <c r="D142" i="3" s="1"/>
  <c r="K5" i="2"/>
  <c r="D103" i="3" s="1"/>
  <c r="K188" i="2"/>
  <c r="D286" i="3" s="1"/>
  <c r="K388" i="2"/>
  <c r="K484" i="2"/>
  <c r="K595" i="2"/>
  <c r="K687" i="2"/>
  <c r="K783" i="2"/>
  <c r="K896" i="2"/>
  <c r="K990" i="2"/>
  <c r="K299" i="2"/>
  <c r="K598" i="2"/>
  <c r="K806" i="2"/>
  <c r="K994" i="2"/>
  <c r="K948" i="2"/>
  <c r="K949" i="2"/>
  <c r="K470" i="2"/>
  <c r="K105" i="2"/>
  <c r="D203" i="3" s="1"/>
  <c r="K488" i="2"/>
  <c r="K696" i="2"/>
  <c r="K898" i="2"/>
  <c r="K10" i="2"/>
  <c r="D108" i="3" s="1"/>
  <c r="K109" i="2"/>
  <c r="D207" i="3" s="1"/>
  <c r="K197" i="2"/>
  <c r="D295" i="3" s="1"/>
  <c r="K300" i="2"/>
  <c r="K397" i="2"/>
  <c r="K492" i="2"/>
  <c r="K600" i="2"/>
  <c r="K697" i="2"/>
  <c r="K807" i="2"/>
  <c r="K904" i="2"/>
  <c r="K441" i="2"/>
  <c r="K651" i="2"/>
  <c r="K360" i="2"/>
  <c r="K867" i="2"/>
  <c r="K568" i="2"/>
  <c r="K874" i="2"/>
  <c r="K278" i="2"/>
  <c r="K106" i="2"/>
  <c r="D204" i="3" s="1"/>
  <c r="K194" i="2"/>
  <c r="D292" i="3" s="1"/>
  <c r="K281" i="2"/>
  <c r="K389" i="2"/>
  <c r="K597" i="2"/>
  <c r="K6" i="2"/>
  <c r="D104" i="3" s="1"/>
  <c r="K107" i="2"/>
  <c r="D205" i="3" s="1"/>
  <c r="K196" i="2"/>
  <c r="D294" i="3" s="1"/>
  <c r="K390" i="2"/>
  <c r="K26" i="2"/>
  <c r="D124" i="3" s="1"/>
  <c r="K111" i="2"/>
  <c r="D209" i="3" s="1"/>
  <c r="K199" i="2"/>
  <c r="D297" i="3" s="1"/>
  <c r="K302" i="2"/>
  <c r="K398" i="2"/>
  <c r="K510" i="2"/>
  <c r="K601" i="2"/>
  <c r="K699" i="2"/>
  <c r="K808" i="2"/>
  <c r="K905" i="2"/>
  <c r="K235" i="2"/>
  <c r="D333" i="3" s="1"/>
  <c r="K236" i="2"/>
  <c r="D334" i="3" s="1"/>
  <c r="K549" i="2"/>
  <c r="K870" i="2"/>
  <c r="K29" i="2"/>
  <c r="D127" i="3" s="1"/>
  <c r="K115" i="2"/>
  <c r="D213" i="3" s="1"/>
  <c r="K207" i="2"/>
  <c r="D305" i="3" s="1"/>
  <c r="K304" i="2"/>
  <c r="K399" i="2"/>
  <c r="K512" i="2"/>
  <c r="K608" i="2"/>
  <c r="K703" i="2"/>
  <c r="K809" i="2"/>
  <c r="K906" i="2"/>
  <c r="K143" i="2"/>
  <c r="D241" i="3" s="1"/>
  <c r="K148" i="2"/>
  <c r="D246" i="3" s="1"/>
  <c r="K30" i="2"/>
  <c r="D128" i="3" s="1"/>
  <c r="K116" i="2"/>
  <c r="D214" i="3" s="1"/>
  <c r="K221" i="2"/>
  <c r="D319" i="3" s="1"/>
  <c r="K305" i="2"/>
  <c r="K402" i="2"/>
  <c r="K514" i="2"/>
  <c r="K609" i="2"/>
  <c r="K722" i="2"/>
  <c r="K813" i="2"/>
  <c r="K909" i="2"/>
  <c r="K739" i="2"/>
  <c r="K65" i="2"/>
  <c r="D163" i="3" s="1"/>
  <c r="K166" i="2"/>
  <c r="D264" i="3" s="1"/>
  <c r="K639" i="2"/>
  <c r="K749" i="2"/>
  <c r="K310" i="2"/>
  <c r="K425" i="2"/>
  <c r="K848" i="2"/>
  <c r="K157" i="2"/>
  <c r="D255" i="3" s="1"/>
  <c r="K31" i="2"/>
  <c r="D129" i="3" s="1"/>
  <c r="K118" i="2"/>
  <c r="D216" i="3" s="1"/>
  <c r="K222" i="2"/>
  <c r="D320" i="3" s="1"/>
  <c r="K515" i="2"/>
  <c r="K724" i="2"/>
  <c r="K819" i="2"/>
  <c r="K918" i="2"/>
  <c r="K32" i="2"/>
  <c r="D130" i="3" s="1"/>
  <c r="K224" i="2"/>
  <c r="D322" i="3" s="1"/>
  <c r="K426" i="2"/>
  <c r="K621" i="2"/>
  <c r="K822" i="2"/>
  <c r="K469" i="2"/>
  <c r="K411" i="2"/>
  <c r="K125" i="2"/>
  <c r="D223" i="3" s="1"/>
  <c r="K223" i="2"/>
  <c r="D321" i="3" s="1"/>
  <c r="K516" i="2"/>
  <c r="K613" i="2"/>
  <c r="K725" i="2"/>
  <c r="K933" i="2"/>
  <c r="K129" i="2"/>
  <c r="D227" i="3" s="1"/>
  <c r="K314" i="2"/>
  <c r="K521" i="2"/>
  <c r="K726" i="2"/>
  <c r="K934" i="2"/>
  <c r="K42" i="2"/>
  <c r="D140" i="3" s="1"/>
  <c r="K141" i="2"/>
  <c r="D239" i="3" s="1"/>
  <c r="K225" i="2"/>
  <c r="D323" i="3" s="1"/>
  <c r="K321" i="2"/>
  <c r="K427" i="2"/>
  <c r="K522" i="2"/>
  <c r="K636" i="2"/>
  <c r="K727" i="2"/>
  <c r="K828" i="2"/>
  <c r="K936" i="2"/>
  <c r="K663" i="2"/>
  <c r="K610" i="2"/>
  <c r="K313" i="2"/>
  <c r="K820" i="2"/>
  <c r="K38" i="2"/>
  <c r="D136" i="3" s="1"/>
  <c r="K43" i="2"/>
  <c r="D141" i="3" s="1"/>
  <c r="K142" i="2"/>
  <c r="D240" i="3" s="1"/>
  <c r="K234" i="2"/>
  <c r="D332" i="3" s="1"/>
  <c r="K326" i="2"/>
  <c r="K429" i="2"/>
  <c r="K530" i="2"/>
  <c r="K637" i="2"/>
  <c r="K732" i="2"/>
  <c r="K832" i="2"/>
  <c r="K937" i="2"/>
  <c r="G137" i="3"/>
  <c r="G179" i="3"/>
  <c r="G217" i="3"/>
  <c r="G263" i="3"/>
  <c r="G303" i="3"/>
  <c r="G348" i="3"/>
  <c r="G220" i="3"/>
  <c r="G139" i="3"/>
  <c r="G182" i="3"/>
  <c r="G266" i="3"/>
  <c r="G306" i="3"/>
  <c r="G141" i="3"/>
  <c r="G183" i="3"/>
  <c r="G227" i="3"/>
  <c r="G267" i="3"/>
  <c r="G308" i="3"/>
  <c r="G346" i="3"/>
  <c r="G322" i="3"/>
  <c r="G298" i="3"/>
  <c r="G274" i="3"/>
  <c r="G250" i="3"/>
  <c r="G226" i="3"/>
  <c r="G202" i="3"/>
  <c r="G178" i="3"/>
  <c r="G154" i="3"/>
  <c r="G130" i="3"/>
  <c r="G106" i="3"/>
  <c r="G343" i="3"/>
  <c r="G319" i="3"/>
  <c r="G295" i="3"/>
  <c r="G271" i="3"/>
  <c r="G247" i="3"/>
  <c r="G223" i="3"/>
  <c r="G199" i="3"/>
  <c r="G175" i="3"/>
  <c r="G151" i="3"/>
  <c r="G127" i="3"/>
  <c r="G103" i="3"/>
  <c r="G342" i="3"/>
  <c r="G316" i="3"/>
  <c r="G290" i="3"/>
  <c r="G264" i="3"/>
  <c r="G238" i="3"/>
  <c r="G212" i="3"/>
  <c r="G186" i="3"/>
  <c r="G160" i="3"/>
  <c r="G134" i="3"/>
  <c r="G108" i="3"/>
  <c r="G333" i="3"/>
  <c r="G307" i="3"/>
  <c r="G281" i="3"/>
  <c r="G255" i="3"/>
  <c r="G229" i="3"/>
  <c r="G203" i="3"/>
  <c r="G176" i="3"/>
  <c r="G149" i="3"/>
  <c r="G123" i="3"/>
  <c r="G330" i="3"/>
  <c r="G304" i="3"/>
  <c r="G278" i="3"/>
  <c r="G252" i="3"/>
  <c r="G225" i="3"/>
  <c r="G198" i="3"/>
  <c r="G172" i="3"/>
  <c r="G146" i="3"/>
  <c r="G120" i="3"/>
  <c r="G329" i="3"/>
  <c r="G300" i="3"/>
  <c r="G269" i="3"/>
  <c r="G240" i="3"/>
  <c r="G210" i="3"/>
  <c r="G181" i="3"/>
  <c r="G150" i="3"/>
  <c r="G119" i="3"/>
  <c r="G323" i="3"/>
  <c r="G292" i="3"/>
  <c r="G262" i="3"/>
  <c r="G233" i="3"/>
  <c r="G204" i="3"/>
  <c r="G171" i="3"/>
  <c r="G142" i="3"/>
  <c r="G113" i="3"/>
  <c r="G320" i="3"/>
  <c r="G289" i="3"/>
  <c r="G260" i="3"/>
  <c r="G231" i="3"/>
  <c r="G200" i="3"/>
  <c r="G169" i="3"/>
  <c r="G140" i="3"/>
  <c r="G111" i="3"/>
  <c r="G345" i="3"/>
  <c r="G314" i="3"/>
  <c r="G285" i="3"/>
  <c r="G256" i="3"/>
  <c r="G224" i="3"/>
  <c r="G194" i="3"/>
  <c r="G165" i="3"/>
  <c r="G136" i="3"/>
  <c r="G105" i="3"/>
  <c r="G135" i="3"/>
  <c r="G344" i="3"/>
  <c r="G313" i="3"/>
  <c r="G284" i="3"/>
  <c r="G254" i="3"/>
  <c r="G222" i="3"/>
  <c r="G193" i="3"/>
  <c r="G164" i="3"/>
  <c r="G104" i="3"/>
  <c r="G341" i="3"/>
  <c r="G312" i="3"/>
  <c r="G283" i="3"/>
  <c r="G253" i="3"/>
  <c r="G221" i="3"/>
  <c r="G192" i="3"/>
  <c r="G163" i="3"/>
  <c r="G133" i="3"/>
  <c r="G102" i="3"/>
  <c r="G338" i="3"/>
  <c r="G309" i="3"/>
  <c r="G279" i="3"/>
  <c r="G248" i="3"/>
  <c r="G218" i="3"/>
  <c r="G189" i="3"/>
  <c r="G159" i="3"/>
  <c r="G129" i="3"/>
  <c r="G100" i="3"/>
  <c r="G144" i="3"/>
  <c r="G185" i="3"/>
  <c r="G230" i="3"/>
  <c r="G270" i="3"/>
  <c r="G311" i="3"/>
  <c r="G101" i="3"/>
  <c r="G145" i="3"/>
  <c r="G187" i="3"/>
  <c r="G232" i="3"/>
  <c r="G272" i="3"/>
  <c r="G315" i="3"/>
  <c r="G107" i="3"/>
  <c r="G234" i="3"/>
  <c r="G273" i="3"/>
  <c r="G109" i="3"/>
  <c r="G190" i="3"/>
  <c r="G318" i="3"/>
  <c r="G147" i="3"/>
  <c r="G148" i="3"/>
  <c r="G235" i="3"/>
  <c r="G275" i="3"/>
  <c r="G110" i="3"/>
  <c r="G152" i="3"/>
  <c r="G191" i="3"/>
  <c r="G236" i="3"/>
  <c r="G276" i="3"/>
  <c r="G321" i="3"/>
  <c r="G188" i="3"/>
  <c r="G195" i="3"/>
  <c r="G317" i="3"/>
  <c r="G112" i="3"/>
  <c r="G153" i="3"/>
  <c r="G237" i="3"/>
  <c r="G277" i="3"/>
  <c r="G114" i="3"/>
  <c r="G155" i="3"/>
  <c r="G196" i="3"/>
  <c r="G239" i="3"/>
  <c r="G280" i="3"/>
  <c r="G325" i="3"/>
  <c r="G324" i="3"/>
  <c r="G115" i="3"/>
  <c r="G156" i="3"/>
  <c r="G197" i="3"/>
  <c r="G241" i="3"/>
  <c r="G282" i="3"/>
  <c r="G326" i="3"/>
  <c r="G124" i="3"/>
  <c r="G125" i="3"/>
  <c r="G168" i="3"/>
  <c r="G211" i="3"/>
  <c r="G251" i="3"/>
  <c r="G296" i="3"/>
  <c r="G336" i="3"/>
  <c r="G167" i="3"/>
  <c r="G209" i="3"/>
  <c r="G249" i="3"/>
  <c r="G294" i="3"/>
  <c r="G335" i="3"/>
  <c r="G126" i="3"/>
  <c r="G170" i="3"/>
  <c r="G213" i="3"/>
  <c r="G257" i="3"/>
  <c r="G297" i="3"/>
  <c r="G337" i="3"/>
  <c r="J100" i="3"/>
  <c r="D3" i="3"/>
  <c r="D10" i="3" l="1"/>
  <c r="D9" i="3"/>
  <c r="D8" i="3"/>
  <c r="D7" i="3"/>
  <c r="D6" i="3"/>
  <c r="D5" i="3"/>
  <c r="D12" i="3"/>
  <c r="D11" i="3"/>
  <c r="D4"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<sst xmlns="http://schemas.openxmlformats.org/spreadsheetml/2006/main" count="4182" uniqueCount="798">
  <si>
    <t>DealID</t>
  </si>
  <si>
    <t>PeakFlow Q1 2025 - Sales Summery</t>
  </si>
  <si>
    <t>Date</t>
  </si>
  <si>
    <t>CustomerName</t>
  </si>
  <si>
    <t>CategoryName</t>
  </si>
  <si>
    <t>SalesRep</t>
  </si>
  <si>
    <t>Manager</t>
  </si>
  <si>
    <t>Region</t>
  </si>
  <si>
    <t>Units</t>
  </si>
  <si>
    <t>UnitPrice</t>
  </si>
  <si>
    <t>Revenue</t>
  </si>
  <si>
    <t>D-1088</t>
  </si>
  <si>
    <t>Helix Systems</t>
  </si>
  <si>
    <t>Starter Plan</t>
  </si>
  <si>
    <t>Nina Petrov</t>
  </si>
  <si>
    <t>Lukas Becker</t>
  </si>
  <si>
    <t xml:space="preserve">Anzahl Deals </t>
  </si>
  <si>
    <t>North America</t>
  </si>
  <si>
    <t>44.27</t>
  </si>
  <si>
    <t>88.54</t>
  </si>
  <si>
    <t>CategoryName
gesäubert</t>
  </si>
  <si>
    <t>D-1108</t>
  </si>
  <si>
    <t>SalesRep
gesäubert</t>
  </si>
  <si>
    <t>Meridian Group</t>
  </si>
  <si>
    <t>Pro Plan</t>
  </si>
  <si>
    <t>Tom Wilson</t>
  </si>
  <si>
    <t>UnitPrice
gesäubert</t>
  </si>
  <si>
    <t>224.49</t>
  </si>
  <si>
    <t>D-1230</t>
  </si>
  <si>
    <t>Fusion Group</t>
  </si>
  <si>
    <t>Marcus Johnson</t>
  </si>
  <si>
    <t>Sarah Chen</t>
  </si>
  <si>
    <t>LATAM</t>
  </si>
  <si>
    <t>248.58</t>
  </si>
  <si>
    <t>$497.16</t>
  </si>
  <si>
    <t>D-1035</t>
  </si>
  <si>
    <t>Nova Inc</t>
  </si>
  <si>
    <t>Add-on: Support</t>
  </si>
  <si>
    <t>Elena Rossi</t>
  </si>
  <si>
    <t>EMEA</t>
  </si>
  <si>
    <t>112.19</t>
  </si>
  <si>
    <t>D-1152</t>
  </si>
  <si>
    <t>Catalyst Inc</t>
  </si>
  <si>
    <t>D-1001</t>
  </si>
  <si>
    <t>73.94</t>
  </si>
  <si>
    <t>D-1202</t>
  </si>
  <si>
    <t>Nimbus Co</t>
  </si>
  <si>
    <t>Phoenix Co</t>
  </si>
  <si>
    <t>Business Plan</t>
  </si>
  <si>
    <t>James Park</t>
  </si>
  <si>
    <t>Owen Walsh</t>
  </si>
  <si>
    <t>Priya Patel</t>
  </si>
  <si>
    <t>Maya Rodriguez</t>
  </si>
  <si>
    <t>369.19</t>
  </si>
  <si>
    <t>1845.95</t>
  </si>
  <si>
    <t>D-1249</t>
  </si>
  <si>
    <t>45.33</t>
  </si>
  <si>
    <t>Summit Group</t>
  </si>
  <si>
    <t>Enterprise Plan</t>
  </si>
  <si>
    <t>1198.59</t>
  </si>
  <si>
    <t>D-1054</t>
  </si>
  <si>
    <t>Northwind Co</t>
  </si>
  <si>
    <t>David Kim</t>
  </si>
  <si>
    <t>1182.78</t>
  </si>
  <si>
    <t>2365.56</t>
  </si>
  <si>
    <t>D-1102</t>
  </si>
  <si>
    <t>Lumen Labs</t>
  </si>
  <si>
    <t>Carlos Mendez</t>
  </si>
  <si>
    <t>68.06</t>
  </si>
  <si>
    <t>D-1115</t>
  </si>
  <si>
    <t>Kestrel Co</t>
  </si>
  <si>
    <t>APAC</t>
  </si>
  <si>
    <t>118.97</t>
  </si>
  <si>
    <t>237.94</t>
  </si>
  <si>
    <t>D-1138</t>
  </si>
  <si>
    <t>53.28</t>
  </si>
  <si>
    <t>266.4</t>
  </si>
  <si>
    <t>Summe Revenue</t>
  </si>
  <si>
    <t>D-1231</t>
  </si>
  <si>
    <t>Borealis Co</t>
  </si>
  <si>
    <t>992.76</t>
  </si>
  <si>
    <t>D-1008</t>
  </si>
  <si>
    <t>latam</t>
  </si>
  <si>
    <t>249.04</t>
  </si>
  <si>
    <t>D-1071</t>
  </si>
  <si>
    <t>Apex Group</t>
  </si>
  <si>
    <t>apac</t>
  </si>
  <si>
    <t>386.52</t>
  </si>
  <si>
    <t>D-1105</t>
  </si>
  <si>
    <t>226.12</t>
  </si>
  <si>
    <t>$226.12</t>
  </si>
  <si>
    <t>D-1110</t>
  </si>
  <si>
    <t>Rivet Co</t>
  </si>
  <si>
    <t>73.28</t>
  </si>
  <si>
    <t>D-1112</t>
  </si>
  <si>
    <t>Mittelwert Geschäftumsatz</t>
  </si>
  <si>
    <t>Hannah Lee</t>
  </si>
  <si>
    <t>45.99</t>
  </si>
  <si>
    <t>$229.95</t>
  </si>
  <si>
    <t>D-1132</t>
  </si>
  <si>
    <t>Quanta Labs</t>
  </si>
  <si>
    <t>70.68</t>
  </si>
  <si>
    <t>$3,534.00</t>
  </si>
  <si>
    <t>D-1150</t>
  </si>
  <si>
    <t>192.21</t>
  </si>
  <si>
    <t>D-1194</t>
  </si>
  <si>
    <t>Onyx Group</t>
  </si>
  <si>
    <t>Sophie Laurent</t>
  </si>
  <si>
    <t>Median Geschäftumsatz</t>
  </si>
  <si>
    <t>193.5</t>
  </si>
  <si>
    <t>$387.00</t>
  </si>
  <si>
    <t>D-1091</t>
  </si>
  <si>
    <t>53.39</t>
  </si>
  <si>
    <t>$53.39</t>
  </si>
  <si>
    <t>D-1092</t>
  </si>
  <si>
    <t>202.22</t>
  </si>
  <si>
    <t>D-1211</t>
  </si>
  <si>
    <t>Add-on: Analytics</t>
  </si>
  <si>
    <t>Minimum</t>
  </si>
  <si>
    <t>69.69</t>
  </si>
  <si>
    <t>$348.45</t>
  </si>
  <si>
    <t>D-1063</t>
  </si>
  <si>
    <t>Granite Co</t>
  </si>
  <si>
    <t>93.27</t>
  </si>
  <si>
    <t>D-1206</t>
  </si>
  <si>
    <t>Stellar Co</t>
  </si>
  <si>
    <t>74.69</t>
  </si>
  <si>
    <t>373.45</t>
  </si>
  <si>
    <t>D-1123</t>
  </si>
  <si>
    <t>92.92</t>
  </si>
  <si>
    <t>D-1121</t>
  </si>
  <si>
    <t>Maximum</t>
  </si>
  <si>
    <t>1388.69</t>
  </si>
  <si>
    <t>$1,388.69</t>
  </si>
  <si>
    <t>D-1029</t>
  </si>
  <si>
    <t>Cascade Group</t>
  </si>
  <si>
    <t>72.26</t>
  </si>
  <si>
    <t>3613.0</t>
  </si>
  <si>
    <t>D-1141</t>
  </si>
  <si>
    <t>1234.13</t>
  </si>
  <si>
    <t>$1234.13</t>
  </si>
  <si>
    <t>D-1155</t>
  </si>
  <si>
    <t>Juniper Group</t>
  </si>
  <si>
    <t>Bereich</t>
  </si>
  <si>
    <t>219.47</t>
  </si>
  <si>
    <t>D-1209</t>
  </si>
  <si>
    <t>Lattice Co</t>
  </si>
  <si>
    <t>276.18</t>
  </si>
  <si>
    <t>$276.18</t>
  </si>
  <si>
    <t>D-1215</t>
  </si>
  <si>
    <t>63.25</t>
  </si>
  <si>
    <t>1265.0</t>
  </si>
  <si>
    <t>D-1250</t>
  </si>
  <si>
    <t>70.61</t>
  </si>
  <si>
    <t>D-1066</t>
  </si>
  <si>
    <t>Standardabweichung</t>
  </si>
  <si>
    <t>171.17</t>
  </si>
  <si>
    <t>342.34</t>
  </si>
  <si>
    <t>D-1153</t>
  </si>
  <si>
    <t>Beacon Labs</t>
  </si>
  <si>
    <t>north america</t>
  </si>
  <si>
    <t>161.18</t>
  </si>
  <si>
    <t>D-1180</t>
  </si>
  <si>
    <t>Raj Sharma</t>
  </si>
  <si>
    <t>95.39</t>
  </si>
  <si>
    <t>D-1219</t>
  </si>
  <si>
    <t>63.23</t>
  </si>
  <si>
    <t>1. Quartil (Q1)</t>
  </si>
  <si>
    <t>D-1009</t>
  </si>
  <si>
    <t>Foundry Group</t>
  </si>
  <si>
    <t>213.81</t>
  </si>
  <si>
    <t>D-1187</t>
  </si>
  <si>
    <t>251.17</t>
  </si>
  <si>
    <t>502.34</t>
  </si>
  <si>
    <t>D-1220</t>
  </si>
  <si>
    <t>Echo Labs</t>
  </si>
  <si>
    <t>3. Quartil (Q3)</t>
  </si>
  <si>
    <t>92.43</t>
  </si>
  <si>
    <t>Aisha Hassan</t>
  </si>
  <si>
    <t>D-1058</t>
  </si>
  <si>
    <t>422.7</t>
  </si>
  <si>
    <t>D-1229</t>
  </si>
  <si>
    <t>Arcadia Inc</t>
  </si>
  <si>
    <t>409.02</t>
  </si>
  <si>
    <t>818.04</t>
  </si>
  <si>
    <t>D-1245</t>
  </si>
  <si>
    <t>Quill Labs</t>
  </si>
  <si>
    <t>177.21</t>
  </si>
  <si>
    <t>$886.05</t>
  </si>
  <si>
    <t>D-1075</t>
  </si>
  <si>
    <t>230.19</t>
  </si>
  <si>
    <t>$1,150.95</t>
  </si>
  <si>
    <t>D-1079</t>
  </si>
  <si>
    <r>
      <rPr>
        <b/>
        <sz val="10"/>
        <color theme="1"/>
        <rFont val="Arial"/>
      </rPr>
      <t>Wie sieht ein typischer Deal im ersten Quartal aus?</t>
    </r>
    <r>
      <rPr>
        <sz val="10"/>
        <color theme="1"/>
        <rFont val="Arial"/>
      </rPr>
      <t xml:space="preserve">
Der typische Deal im ersten Quartal weist einen Umsatz von 386,76 € auf. Dieser Wert entspricht dem Median und beschreibt den typischen Geschäftsumsatz besser als der Mittelwert, da der Median nicht von einzelnen außergewöhnlich hohen Umsätzen beeinflusst wird.</t>
    </r>
  </si>
  <si>
    <t>66.71</t>
  </si>
  <si>
    <t>D-1169</t>
  </si>
  <si>
    <t>Quartz Co</t>
  </si>
  <si>
    <t>426.07</t>
  </si>
  <si>
    <t>$426.07</t>
  </si>
  <si>
    <t>D-1234</t>
  </si>
  <si>
    <t>Pacific Co</t>
  </si>
  <si>
    <r>
      <rPr>
        <b/>
        <sz val="10"/>
        <color theme="1"/>
        <rFont val="Arial"/>
      </rPr>
      <t>Vergleich von Mittelwert und Median</t>
    </r>
    <r>
      <rPr>
        <sz val="10"/>
        <color theme="1"/>
        <rFont val="Arial"/>
      </rPr>
      <t xml:space="preserve">
Der Mittelwert beträgt 1.458,54 € und liegt damit deutlich über dem Median von 386,76 €. Diese Abweichung deutet auf eine rechtsschiefe Verteilung der Umsätze hin. Einige wenige umsatzstarke Deals erhöhen den Durchschnitt erheblich, während der Großteil der Geschäfte deutlich niedrigere Umsätze erzielt. Der hohe Maximalwert von 46.616,00 € bestätigt das Vorhandensein solcher Ausreißer. Daher eignet sich der Median besser, um den typischen Umsatz eines Deals zu beschreiben.</t>
    </r>
  </si>
  <si>
    <t>233.74</t>
  </si>
  <si>
    <t>$467.48</t>
  </si>
  <si>
    <t>D-1198</t>
  </si>
  <si>
    <t>emea</t>
  </si>
  <si>
    <t>420.94</t>
  </si>
  <si>
    <t>Performance by Sale Rep</t>
  </si>
  <si>
    <t>D-TEST1</t>
  </si>
  <si>
    <t>TEST</t>
  </si>
  <si>
    <t>Test Rep</t>
  </si>
  <si>
    <t>Test Manager</t>
  </si>
  <si>
    <t>1.0</t>
  </si>
  <si>
    <t>1.00</t>
  </si>
  <si>
    <t>D-1011</t>
  </si>
  <si>
    <t>Harbor Inc</t>
  </si>
  <si>
    <t>Category Name</t>
  </si>
  <si>
    <t>410.61</t>
  </si>
  <si>
    <t>D-1041</t>
  </si>
  <si>
    <t>451.68</t>
  </si>
  <si>
    <t>$451.68</t>
  </si>
  <si>
    <t>D-1106</t>
  </si>
  <si>
    <t>Vertex Inc</t>
  </si>
  <si>
    <t>Sales Rep</t>
  </si>
  <si>
    <t>1180.76</t>
  </si>
  <si>
    <t>23615.2</t>
  </si>
  <si>
    <t>D-1109</t>
  </si>
  <si>
    <t>214.71</t>
  </si>
  <si>
    <t>10735.5</t>
  </si>
  <si>
    <t>D-1172</t>
  </si>
  <si>
    <t>NORTH AMERICA</t>
  </si>
  <si>
    <t>82.73</t>
  </si>
  <si>
    <t>827.3</t>
  </si>
  <si>
    <t>D-1037</t>
  </si>
  <si>
    <t>389.23</t>
  </si>
  <si>
    <t>D-1148</t>
  </si>
  <si>
    <t>407.67</t>
  </si>
  <si>
    <t>D-1244</t>
  </si>
  <si>
    <t>295.34</t>
  </si>
  <si>
    <t>$295.34</t>
  </si>
  <si>
    <t>D-1182</t>
  </si>
  <si>
    <t>71.39</t>
  </si>
  <si>
    <t>713.9</t>
  </si>
  <si>
    <t>D-1012</t>
  </si>
  <si>
    <t>103.1</t>
  </si>
  <si>
    <t>515.5</t>
  </si>
  <si>
    <t>D-1067</t>
  </si>
  <si>
    <t>49.8</t>
  </si>
  <si>
    <t>$996.0</t>
  </si>
  <si>
    <t>D-1085</t>
  </si>
  <si>
    <t>Solstice Group</t>
  </si>
  <si>
    <t>58.38</t>
  </si>
  <si>
    <t>291.9</t>
  </si>
  <si>
    <t>D-1167</t>
  </si>
  <si>
    <t>404.19</t>
  </si>
  <si>
    <t>2020.95</t>
  </si>
  <si>
    <t>D-1197</t>
  </si>
  <si>
    <t>59.94</t>
  </si>
  <si>
    <t>$1,198.80</t>
  </si>
  <si>
    <t>D-1007</t>
  </si>
  <si>
    <t>146.67</t>
  </si>
  <si>
    <t>D-1048</t>
  </si>
  <si>
    <t>Orbit Co</t>
  </si>
  <si>
    <t>D-1002</t>
  </si>
  <si>
    <t>153.06</t>
  </si>
  <si>
    <t>306.12</t>
  </si>
  <si>
    <t>D-1082</t>
  </si>
  <si>
    <t>73.95</t>
  </si>
  <si>
    <t>D-1158</t>
  </si>
  <si>
    <t>67.43</t>
  </si>
  <si>
    <t>337.15</t>
  </si>
  <si>
    <t>243.59</t>
  </si>
  <si>
    <t>D-1027</t>
  </si>
  <si>
    <t>79.13</t>
  </si>
  <si>
    <t>$1582.6</t>
  </si>
  <si>
    <t>D-1117</t>
  </si>
  <si>
    <t>189.77</t>
  </si>
  <si>
    <t>D-1125</t>
  </si>
  <si>
    <t>260.51</t>
  </si>
  <si>
    <t>D-1164</t>
  </si>
  <si>
    <t>98.54</t>
  </si>
  <si>
    <t>$1,970.80</t>
  </si>
  <si>
    <t>D-1013</t>
  </si>
  <si>
    <t>46.97</t>
  </si>
  <si>
    <t>D-1144</t>
  </si>
  <si>
    <t>76.11</t>
  </si>
  <si>
    <t>D-1216</t>
  </si>
  <si>
    <t>256.91</t>
  </si>
  <si>
    <t>D-1003</t>
  </si>
  <si>
    <t>D-1124</t>
  </si>
  <si>
    <t>Citadel Group</t>
  </si>
  <si>
    <t>425.85</t>
  </si>
  <si>
    <t>851.7</t>
  </si>
  <si>
    <t>D-1133</t>
  </si>
  <si>
    <t>1330.75</t>
  </si>
  <si>
    <t>13307.5</t>
  </si>
  <si>
    <t>132.73</t>
  </si>
  <si>
    <t>D-1235</t>
  </si>
  <si>
    <t>42.63</t>
  </si>
  <si>
    <t>$85.26</t>
  </si>
  <si>
    <t>D-1062</t>
  </si>
  <si>
    <t>53.37</t>
  </si>
  <si>
    <t>533.7</t>
  </si>
  <si>
    <t>D-1006</t>
  </si>
  <si>
    <t>116.31</t>
  </si>
  <si>
    <t>$116.31</t>
  </si>
  <si>
    <t>D-1010</t>
  </si>
  <si>
    <t>Driftwood Co</t>
  </si>
  <si>
    <t>428.51</t>
  </si>
  <si>
    <r>
      <rPr>
        <b/>
        <sz val="12"/>
        <color theme="1"/>
        <rFont val="Arial"/>
      </rPr>
      <t xml:space="preserve">Protokoll
</t>
    </r>
    <r>
      <rPr>
        <sz val="10"/>
        <color theme="1"/>
        <rFont val="Arial"/>
      </rPr>
      <t xml:space="preserve">2 Zeilen manuell gelöscht (D-TEST1, D-TEST2)
Kategorienamen korrigieren und vereinheitlich
Leerzeichen in der Spalte Vertriebsmitarbeiter (SalesRep) entfernt
In der Spalte Region Groß-/Kleinschreibung vereinheitlicht
UnitPrice &amp; Revenue als Zahl dargestellt
</t>
    </r>
  </si>
  <si>
    <t>D-1064</t>
  </si>
  <si>
    <t>BUSINESS PLAN</t>
  </si>
  <si>
    <t>61.21</t>
  </si>
  <si>
    <t>D-1190</t>
  </si>
  <si>
    <t>D-1004</t>
  </si>
  <si>
    <t>Prism Group</t>
  </si>
  <si>
    <t>154.79</t>
  </si>
  <si>
    <t>773.95</t>
  </si>
  <si>
    <t>D-1200</t>
  </si>
  <si>
    <t>492.03</t>
  </si>
  <si>
    <t>$492.03</t>
  </si>
  <si>
    <t>402.09</t>
  </si>
  <si>
    <t>D-1221</t>
  </si>
  <si>
    <t>188.38</t>
  </si>
  <si>
    <t>376.76</t>
  </si>
  <si>
    <t>D-1224</t>
  </si>
  <si>
    <t>Verdant Inc</t>
  </si>
  <si>
    <t>195.73</t>
  </si>
  <si>
    <t>D-1093</t>
  </si>
  <si>
    <t>Obsidian Co</t>
  </si>
  <si>
    <t>487.09</t>
  </si>
  <si>
    <t>D-1107</t>
  </si>
  <si>
    <t>D-1005</t>
  </si>
  <si>
    <t>932.32</t>
  </si>
  <si>
    <t>46616.0</t>
  </si>
  <si>
    <t>D-1135</t>
  </si>
  <si>
    <t>233.69</t>
  </si>
  <si>
    <t>493.26</t>
  </si>
  <si>
    <t>D-1131</t>
  </si>
  <si>
    <t>45.35</t>
  </si>
  <si>
    <t>226.75</t>
  </si>
  <si>
    <t>D-1142</t>
  </si>
  <si>
    <t>479.31</t>
  </si>
  <si>
    <t>D-1199</t>
  </si>
  <si>
    <t>49.17</t>
  </si>
  <si>
    <t>D-1014</t>
  </si>
  <si>
    <t>114.94</t>
  </si>
  <si>
    <t>$114.94</t>
  </si>
  <si>
    <t>D-1051</t>
  </si>
  <si>
    <t>1035.34</t>
  </si>
  <si>
    <t>2070.68</t>
  </si>
  <si>
    <t>D-1140</t>
  </si>
  <si>
    <t>122.21</t>
  </si>
  <si>
    <t>$244.42</t>
  </si>
  <si>
    <t>D-1178</t>
  </si>
  <si>
    <t>1004.37</t>
  </si>
  <si>
    <t>20087.4</t>
  </si>
  <si>
    <t>D-1146</t>
  </si>
  <si>
    <t>49.89</t>
  </si>
  <si>
    <t>99.78</t>
  </si>
  <si>
    <t>D-1059</t>
  </si>
  <si>
    <t>104.29</t>
  </si>
  <si>
    <t>D-1122</t>
  </si>
  <si>
    <t>107.07</t>
  </si>
  <si>
    <t>1070.7</t>
  </si>
  <si>
    <t>D-1134</t>
  </si>
  <si>
    <t>285.02</t>
  </si>
  <si>
    <t>$285.02</t>
  </si>
  <si>
    <t>D-1055</t>
  </si>
  <si>
    <t>42.45</t>
  </si>
  <si>
    <t>212.25</t>
  </si>
  <si>
    <t>D-1068</t>
  </si>
  <si>
    <t>53.74</t>
  </si>
  <si>
    <t>$53.74</t>
  </si>
  <si>
    <t>D-1083</t>
  </si>
  <si>
    <t>474.26</t>
  </si>
  <si>
    <t>$2371.3</t>
  </si>
  <si>
    <t>D-1073</t>
  </si>
  <si>
    <t>240.29</t>
  </si>
  <si>
    <t>$480.58</t>
  </si>
  <si>
    <t>D-1089</t>
  </si>
  <si>
    <t>973.3</t>
  </si>
  <si>
    <t>D-1161</t>
  </si>
  <si>
    <t>418.06</t>
  </si>
  <si>
    <t>$2,090.30</t>
  </si>
  <si>
    <t>D-1210</t>
  </si>
  <si>
    <t>431.34</t>
  </si>
  <si>
    <t>D-1101</t>
  </si>
  <si>
    <t>193.4</t>
  </si>
  <si>
    <t>$967.0</t>
  </si>
  <si>
    <t>D-1243</t>
  </si>
  <si>
    <t>249.29</t>
  </si>
  <si>
    <t>$1,246.45</t>
  </si>
  <si>
    <t>D-1015</t>
  </si>
  <si>
    <t>42.9</t>
  </si>
  <si>
    <t>D-1038</t>
  </si>
  <si>
    <t>184.49</t>
  </si>
  <si>
    <t>Diegos Fragen:</t>
  </si>
  <si>
    <t>D-1232</t>
  </si>
  <si>
    <t>54.56</t>
  </si>
  <si>
    <t>$54.56</t>
  </si>
  <si>
    <t>Wer ist in welcher Produktlinie stark?</t>
  </si>
  <si>
    <t>Wir haben eine klare Spezialisierung. Marcus Johnson und Nina Petrov sind unsere Schwergewichte im Enterprise-Bereich. David Kim ist unser unangefochtener Spezialist für Business-Pläne, der hier mehr Umsatz generiert als jeder andere Kollege in einer einzelnen Kategorie.</t>
  </si>
  <si>
    <t>D-1103</t>
  </si>
  <si>
    <t>45.13</t>
  </si>
  <si>
    <t>$90.26</t>
  </si>
  <si>
    <t>D-1116</t>
  </si>
  <si>
    <t>74.46</t>
  </si>
  <si>
    <t>Wem gehört welche Region?</t>
  </si>
  <si>
    <t>D-1181</t>
  </si>
  <si>
    <t>Die Verantwortlichkeiten sind geografisch klar verteilt. Nina Petrov ist die dominierende Kraft im APAC-Raum, während Marcus Johnson EMEA und David Kim LATAM anführen. In North America erzielt Aisha Hassan das beste Ergebnis, wobei der Markt hier im Vergleich zu APAC und EMEA weniger stark von einer einzelnen Person dominiert wird.</t>
  </si>
  <si>
    <t>235.36</t>
  </si>
  <si>
    <t>$235.36</t>
  </si>
  <si>
    <t>D-1207</t>
  </si>
  <si>
    <t>228.23</t>
  </si>
  <si>
    <t>D-1247</t>
  </si>
  <si>
    <t>81.9</t>
  </si>
  <si>
    <t>1638.0</t>
  </si>
  <si>
    <t>D-1044</t>
  </si>
  <si>
    <t>1118.07</t>
  </si>
  <si>
    <t>$11180.7</t>
  </si>
  <si>
    <t>D-1213</t>
  </si>
  <si>
    <t>440.61</t>
  </si>
  <si>
    <t>D-1100</t>
  </si>
  <si>
    <t>205.16</t>
  </si>
  <si>
    <t>D-1129</t>
  </si>
  <si>
    <t>Kinetic Labs</t>
  </si>
  <si>
    <t>57.44</t>
  </si>
  <si>
    <t>D-1191</t>
  </si>
  <si>
    <t>78.92</t>
  </si>
  <si>
    <t>$78.92</t>
  </si>
  <si>
    <t>D-1205</t>
  </si>
  <si>
    <t>410.14</t>
  </si>
  <si>
    <t>820.28</t>
  </si>
  <si>
    <t>D-1050</t>
  </si>
  <si>
    <t>Atlas Group</t>
  </si>
  <si>
    <t>52.69</t>
  </si>
  <si>
    <t>263.45</t>
  </si>
  <si>
    <t>D-1136</t>
  </si>
  <si>
    <t>110.27</t>
  </si>
  <si>
    <t>$1,102.70</t>
  </si>
  <si>
    <t>D-1099</t>
  </si>
  <si>
    <t>287.77</t>
  </si>
  <si>
    <t>$287.77</t>
  </si>
  <si>
    <t>D-1208</t>
  </si>
  <si>
    <t>Iris Co</t>
  </si>
  <si>
    <t>104.56</t>
  </si>
  <si>
    <t>D-1017</t>
  </si>
  <si>
    <t>1339.78</t>
  </si>
  <si>
    <t>D-1042</t>
  </si>
  <si>
    <t>60.51</t>
  </si>
  <si>
    <t>D-1045</t>
  </si>
  <si>
    <t>40.5</t>
  </si>
  <si>
    <t>202.5</t>
  </si>
  <si>
    <t>D-1195</t>
  </si>
  <si>
    <t>288.1</t>
  </si>
  <si>
    <t>5762.0</t>
  </si>
  <si>
    <t>D-1203</t>
  </si>
  <si>
    <t>415.25</t>
  </si>
  <si>
    <t>D-1239</t>
  </si>
  <si>
    <t>42.09</t>
  </si>
  <si>
    <t>84.18</t>
  </si>
  <si>
    <t>D-1154</t>
  </si>
  <si>
    <t>987.06</t>
  </si>
  <si>
    <t>D-1143</t>
  </si>
  <si>
    <t>72.12</t>
  </si>
  <si>
    <t>$144.24</t>
  </si>
  <si>
    <t>D-1214</t>
  </si>
  <si>
    <t>62.85</t>
  </si>
  <si>
    <t>D-TEST2</t>
  </si>
  <si>
    <t>QA Test</t>
  </si>
  <si>
    <t>QA User</t>
  </si>
  <si>
    <t>QA</t>
  </si>
  <si>
    <t>D-1016</t>
  </si>
  <si>
    <t>273.36</t>
  </si>
  <si>
    <t>546.72</t>
  </si>
  <si>
    <t>D-1031</t>
  </si>
  <si>
    <t>71.74</t>
  </si>
  <si>
    <t>3587.0</t>
  </si>
  <si>
    <t>D-1052</t>
  </si>
  <si>
    <t>490.82</t>
  </si>
  <si>
    <t>D-1087</t>
  </si>
  <si>
    <t>400.66</t>
  </si>
  <si>
    <t>801.32</t>
  </si>
  <si>
    <t>D-1119</t>
  </si>
  <si>
    <t>157.24</t>
  </si>
  <si>
    <t>786.2</t>
  </si>
  <si>
    <t>D-1175</t>
  </si>
  <si>
    <t>60.23</t>
  </si>
  <si>
    <t>D-1242</t>
  </si>
  <si>
    <t>46.99</t>
  </si>
  <si>
    <t>D-1114</t>
  </si>
  <si>
    <t>add-on: support</t>
  </si>
  <si>
    <t>43.17</t>
  </si>
  <si>
    <t>86.34</t>
  </si>
  <si>
    <t>D-1025</t>
  </si>
  <si>
    <t>75.66</t>
  </si>
  <si>
    <t>756.6</t>
  </si>
  <si>
    <t>D-1081</t>
  </si>
  <si>
    <t>377.71</t>
  </si>
  <si>
    <t>D-1113</t>
  </si>
  <si>
    <t>180.13</t>
  </si>
  <si>
    <t>360.26</t>
  </si>
  <si>
    <t>D-1149</t>
  </si>
  <si>
    <t>58.15</t>
  </si>
  <si>
    <t>581.5</t>
  </si>
  <si>
    <t>D-1049</t>
  </si>
  <si>
    <t>67.42</t>
  </si>
  <si>
    <t>D-1097</t>
  </si>
  <si>
    <t>486.21</t>
  </si>
  <si>
    <t>D-1159</t>
  </si>
  <si>
    <t>985.63</t>
  </si>
  <si>
    <t>D-1095</t>
  </si>
  <si>
    <t>46.11</t>
  </si>
  <si>
    <t>92.22</t>
  </si>
  <si>
    <t>D-1236</t>
  </si>
  <si>
    <t>289.32</t>
  </si>
  <si>
    <t>1446.6</t>
  </si>
  <si>
    <t>D-1020</t>
  </si>
  <si>
    <t>162.02</t>
  </si>
  <si>
    <t>1620.2</t>
  </si>
  <si>
    <t>D-1023</t>
  </si>
  <si>
    <t>64.75</t>
  </si>
  <si>
    <t>$1,295.00</t>
  </si>
  <si>
    <t>D-1047</t>
  </si>
  <si>
    <t>Starter plan</t>
  </si>
  <si>
    <t>110.31</t>
  </si>
  <si>
    <t>D-1074</t>
  </si>
  <si>
    <t>70.58</t>
  </si>
  <si>
    <t>D-1240</t>
  </si>
  <si>
    <t>244.89</t>
  </si>
  <si>
    <t>D-1032</t>
  </si>
  <si>
    <t>45.23</t>
  </si>
  <si>
    <t>$45.23</t>
  </si>
  <si>
    <t>D-1056</t>
  </si>
  <si>
    <t>77.48</t>
  </si>
  <si>
    <t>$154.96</t>
  </si>
  <si>
    <t>D-1184</t>
  </si>
  <si>
    <t>259.85</t>
  </si>
  <si>
    <t>1299.25</t>
  </si>
  <si>
    <t>D-1217</t>
  </si>
  <si>
    <t>293.39</t>
  </si>
  <si>
    <t>$293.39</t>
  </si>
  <si>
    <t>D-1076</t>
  </si>
  <si>
    <t>288.79</t>
  </si>
  <si>
    <t>D-1170</t>
  </si>
  <si>
    <t>447.2</t>
  </si>
  <si>
    <t>894.4</t>
  </si>
  <si>
    <t>D-1018</t>
  </si>
  <si>
    <t>D-1171</t>
  </si>
  <si>
    <t>41.17</t>
  </si>
  <si>
    <t>$41.17</t>
  </si>
  <si>
    <t>1227.17</t>
  </si>
  <si>
    <t>D-1246</t>
  </si>
  <si>
    <t>$1227.17</t>
  </si>
  <si>
    <t>481.6</t>
  </si>
  <si>
    <t>2408.0</t>
  </si>
  <si>
    <t>D-1028</t>
  </si>
  <si>
    <t>131.72</t>
  </si>
  <si>
    <t>658.6</t>
  </si>
  <si>
    <t>D-1033</t>
  </si>
  <si>
    <t>181.14</t>
  </si>
  <si>
    <t>$362.28</t>
  </si>
  <si>
    <t>D-1157</t>
  </si>
  <si>
    <t>185.31</t>
  </si>
  <si>
    <t>926.55</t>
  </si>
  <si>
    <t>D-1162</t>
  </si>
  <si>
    <t>262.29</t>
  </si>
  <si>
    <t>$524.58</t>
  </si>
  <si>
    <t>D-1179</t>
  </si>
  <si>
    <t>D-1019</t>
  </si>
  <si>
    <t>1309.46</t>
  </si>
  <si>
    <t>D-1226</t>
  </si>
  <si>
    <t>408.62</t>
  </si>
  <si>
    <t>72.37</t>
  </si>
  <si>
    <t>$817.24</t>
  </si>
  <si>
    <t>D-1034</t>
  </si>
  <si>
    <t>65.03</t>
  </si>
  <si>
    <t>130.06</t>
  </si>
  <si>
    <t>D-1145</t>
  </si>
  <si>
    <t>498.06</t>
  </si>
  <si>
    <t>$498.06</t>
  </si>
  <si>
    <t>D-1021</t>
  </si>
  <si>
    <t>74.98</t>
  </si>
  <si>
    <t>$1499.6</t>
  </si>
  <si>
    <t>D-1104</t>
  </si>
  <si>
    <t>59.68</t>
  </si>
  <si>
    <t>D-1126</t>
  </si>
  <si>
    <t>170.37</t>
  </si>
  <si>
    <t>851.85</t>
  </si>
  <si>
    <t>D-1241</t>
  </si>
  <si>
    <t>250.52</t>
  </si>
  <si>
    <t>$2505.2</t>
  </si>
  <si>
    <t>D-1039</t>
  </si>
  <si>
    <t>47.54</t>
  </si>
  <si>
    <t>$47.54</t>
  </si>
  <si>
    <t>D-1111</t>
  </si>
  <si>
    <t>477.27</t>
  </si>
  <si>
    <t>$954.54</t>
  </si>
  <si>
    <t>D-1137</t>
  </si>
  <si>
    <t>222.01</t>
  </si>
  <si>
    <t>$2,220.10</t>
  </si>
  <si>
    <t>D-1237</t>
  </si>
  <si>
    <t>79.56</t>
  </si>
  <si>
    <t>$159.12</t>
  </si>
  <si>
    <t>D-1026</t>
  </si>
  <si>
    <t>150.54</t>
  </si>
  <si>
    <t>$752.70</t>
  </si>
  <si>
    <t>D-1084</t>
  </si>
  <si>
    <t>48.7</t>
  </si>
  <si>
    <t>97.4</t>
  </si>
  <si>
    <t>D-1174</t>
  </si>
  <si>
    <t>153.64</t>
  </si>
  <si>
    <t>D-1086</t>
  </si>
  <si>
    <t>203.26</t>
  </si>
  <si>
    <t>D-1094</t>
  </si>
  <si>
    <t>433.61</t>
  </si>
  <si>
    <t>D-1160</t>
  </si>
  <si>
    <t>186.32</t>
  </si>
  <si>
    <t>D-1061</t>
  </si>
  <si>
    <t>213.15</t>
  </si>
  <si>
    <t>$1,065.75</t>
  </si>
  <si>
    <t>D-1065</t>
  </si>
  <si>
    <t>67.86</t>
  </si>
  <si>
    <t>135.72</t>
  </si>
  <si>
    <t>D-1127</t>
  </si>
  <si>
    <t>63.83</t>
  </si>
  <si>
    <t>D-1022</t>
  </si>
  <si>
    <t>127.66</t>
  </si>
  <si>
    <t>D-1060</t>
  </si>
  <si>
    <t>60.18</t>
  </si>
  <si>
    <t>$300.9</t>
  </si>
  <si>
    <t>100.36</t>
  </si>
  <si>
    <t>D-1098</t>
  </si>
  <si>
    <t>$200.72</t>
  </si>
  <si>
    <t>57.15</t>
  </si>
  <si>
    <t>114.3</t>
  </si>
  <si>
    <t>D-1096</t>
  </si>
  <si>
    <t>404.44</t>
  </si>
  <si>
    <t>$404.44</t>
  </si>
  <si>
    <t>D-1130</t>
  </si>
  <si>
    <t>368.26</t>
  </si>
  <si>
    <t>$7,365.20</t>
  </si>
  <si>
    <t>D-1151</t>
  </si>
  <si>
    <t>72.31</t>
  </si>
  <si>
    <t>723.1</t>
  </si>
  <si>
    <t>D-1248</t>
  </si>
  <si>
    <t>1203.23</t>
  </si>
  <si>
    <t>$24,064.60</t>
  </si>
  <si>
    <t>D-1040</t>
  </si>
  <si>
    <t>76.75</t>
  </si>
  <si>
    <t>$76.75</t>
  </si>
  <si>
    <t>D-1147</t>
  </si>
  <si>
    <t>162.59</t>
  </si>
  <si>
    <t>1625.9</t>
  </si>
  <si>
    <t>D-1183</t>
  </si>
  <si>
    <t>58.93</t>
  </si>
  <si>
    <t>117.86</t>
  </si>
  <si>
    <t>D-1223</t>
  </si>
  <si>
    <t>382.36</t>
  </si>
  <si>
    <t>D-1036</t>
  </si>
  <si>
    <t>1266.86</t>
  </si>
  <si>
    <t>D-1077</t>
  </si>
  <si>
    <t>152.98</t>
  </si>
  <si>
    <t>D-1173</t>
  </si>
  <si>
    <t>226.97</t>
  </si>
  <si>
    <t>453.94</t>
  </si>
  <si>
    <t>D-1233</t>
  </si>
  <si>
    <t>D-1024</t>
  </si>
  <si>
    <t>229.82</t>
  </si>
  <si>
    <t>$229.82</t>
  </si>
  <si>
    <t>D-1193</t>
  </si>
  <si>
    <t>81.95</t>
  </si>
  <si>
    <t>$1,639.00</t>
  </si>
  <si>
    <t>D-1218</t>
  </si>
  <si>
    <t>250.06</t>
  </si>
  <si>
    <t>$250.06</t>
  </si>
  <si>
    <t>49.92</t>
  </si>
  <si>
    <t>499.2</t>
  </si>
  <si>
    <t>D-1078</t>
  </si>
  <si>
    <t>199.56</t>
  </si>
  <si>
    <t>D-1139</t>
  </si>
  <si>
    <t>403.84</t>
  </si>
  <si>
    <t>D-1176</t>
  </si>
  <si>
    <t>120.48</t>
  </si>
  <si>
    <t>D-1196</t>
  </si>
  <si>
    <t>62.77</t>
  </si>
  <si>
    <t>125.54</t>
  </si>
  <si>
    <t>D-1228</t>
  </si>
  <si>
    <t>60.9</t>
  </si>
  <si>
    <t>$60.9</t>
  </si>
  <si>
    <t>D-1166</t>
  </si>
  <si>
    <t>75.13</t>
  </si>
  <si>
    <t>$375.65</t>
  </si>
  <si>
    <t>D-1238</t>
  </si>
  <si>
    <t>Top-Vertriebsmitarbeiter nach Anzahl der abgeschlossenen Geschäfte</t>
  </si>
  <si>
    <t>44.69</t>
  </si>
  <si>
    <t>89.38</t>
  </si>
  <si>
    <t>D-1046</t>
  </si>
  <si>
    <t>Vertriebsmitarbeiter</t>
  </si>
  <si>
    <t>1266.5</t>
  </si>
  <si>
    <t>2533.0</t>
  </si>
  <si>
    <t>D-1163</t>
  </si>
  <si>
    <t>Anzahl der Geschäfte</t>
  </si>
  <si>
    <t>135.5</t>
  </si>
  <si>
    <t>1355.0</t>
  </si>
  <si>
    <t>D-1222</t>
  </si>
  <si>
    <t>277.92</t>
  </si>
  <si>
    <t>D-1043</t>
  </si>
  <si>
    <t>105.63</t>
  </si>
  <si>
    <t>$528.15</t>
  </si>
  <si>
    <t>D-1057</t>
  </si>
  <si>
    <t>421.73</t>
  </si>
  <si>
    <t>843.46</t>
  </si>
  <si>
    <t>D-1090</t>
  </si>
  <si>
    <t>47.6</t>
  </si>
  <si>
    <t>238.0</t>
  </si>
  <si>
    <t>D-1204</t>
  </si>
  <si>
    <t>102.63</t>
  </si>
  <si>
    <t>D-1072</t>
  </si>
  <si>
    <t>196.02</t>
  </si>
  <si>
    <t>D-1192</t>
  </si>
  <si>
    <t>218.98</t>
  </si>
  <si>
    <t>437.96</t>
  </si>
  <si>
    <t>D-1030</t>
  </si>
  <si>
    <t>147.96</t>
  </si>
  <si>
    <t>D-1118</t>
  </si>
  <si>
    <t>475.9</t>
  </si>
  <si>
    <t>D-1201</t>
  </si>
  <si>
    <t>224.95</t>
  </si>
  <si>
    <t>D-1212</t>
  </si>
  <si>
    <t>283.25</t>
  </si>
  <si>
    <t>566.5</t>
  </si>
  <si>
    <t>D-1053</t>
  </si>
  <si>
    <t>48.49</t>
  </si>
  <si>
    <t>$2424.5</t>
  </si>
  <si>
    <t>D-1070</t>
  </si>
  <si>
    <t>265.15</t>
  </si>
  <si>
    <t>$5303.0</t>
  </si>
  <si>
    <t>D-1177</t>
  </si>
  <si>
    <t>67.1</t>
  </si>
  <si>
    <t>$67.10</t>
  </si>
  <si>
    <t>D-1188</t>
  </si>
  <si>
    <t>187.23</t>
  </si>
  <si>
    <t>D-1165</t>
  </si>
  <si>
    <t>95.13</t>
  </si>
  <si>
    <t>D-1189</t>
  </si>
  <si>
    <t>66.01</t>
  </si>
  <si>
    <t>$66.01</t>
  </si>
  <si>
    <t>D-1156</t>
  </si>
  <si>
    <t>445.67</t>
  </si>
  <si>
    <t>891.34</t>
  </si>
  <si>
    <t>D-1128</t>
  </si>
  <si>
    <t>Enterprise plan</t>
  </si>
  <si>
    <t>1360.14</t>
  </si>
  <si>
    <t>$1360.14</t>
  </si>
  <si>
    <t>D-1168</t>
  </si>
  <si>
    <t>201.51</t>
  </si>
  <si>
    <t>10075.5</t>
  </si>
  <si>
    <t>D-1186</t>
  </si>
  <si>
    <t>59.63</t>
  </si>
  <si>
    <t>D-1225</t>
  </si>
  <si>
    <t>78.24</t>
  </si>
  <si>
    <t>$78.24</t>
  </si>
  <si>
    <t>D-1227</t>
  </si>
  <si>
    <t>63.35</t>
  </si>
  <si>
    <t>126.7</t>
  </si>
  <si>
    <t>D-1069</t>
  </si>
  <si>
    <t>415.38</t>
  </si>
  <si>
    <t>D-1080</t>
  </si>
  <si>
    <t>967.42</t>
  </si>
  <si>
    <t>D-1120</t>
  </si>
  <si>
    <t>958.86</t>
  </si>
  <si>
    <t>D-1185</t>
  </si>
  <si>
    <t>75.29</t>
  </si>
  <si>
    <t>150.58</t>
  </si>
  <si>
    <t>Top-Vertriebsmitarbeiter nach durchschnittlichem Geschäftsvolumen</t>
  </si>
  <si>
    <t>Duchschnittliches  Geschäftvolumen</t>
  </si>
  <si>
    <t>Monat</t>
  </si>
  <si>
    <t>Umsatz</t>
  </si>
  <si>
    <t>Die 10 größten Transaktionen des ersten Quartals</t>
  </si>
  <si>
    <t xml:space="preserve">Januar </t>
  </si>
  <si>
    <t xml:space="preserve">Februar </t>
  </si>
  <si>
    <t>März</t>
  </si>
  <si>
    <t>Min</t>
  </si>
  <si>
    <t>Q1</t>
  </si>
  <si>
    <t>Q3</t>
  </si>
  <si>
    <t>Max</t>
  </si>
  <si>
    <t>Med</t>
  </si>
  <si>
    <t xml:space="preserve"> </t>
  </si>
  <si>
    <t>Tabelle aus "Datensätze" mit den bereinigten Werten</t>
  </si>
  <si>
    <r>
      <rPr>
        <b/>
        <sz val="16"/>
        <color theme="1"/>
        <rFont val="Arial"/>
      </rPr>
      <t>Arbeitsmappe „PeakFlow Q1 2025“</t>
    </r>
    <r>
      <rPr>
        <sz val="12"/>
        <color theme="1"/>
        <rFont val="Arial"/>
      </rPr>
      <t xml:space="preserve">
Diese Arbeitsmappe enthält die vollständige Analyse des Vertriebs im ersten Quartal 2025. Sie wurde erstellt, um die Leistung des Vertriebsteams transparent zu machen und strategische Fragen zur Umsatzverteilung und Mitarbeiterleistung zu beantworten.
</t>
    </r>
    <r>
      <rPr>
        <b/>
        <sz val="14"/>
        <color theme="1"/>
        <rFont val="Arial"/>
      </rPr>
      <t>1. Registerkarte: Datensätze</t>
    </r>
    <r>
      <rPr>
        <sz val="12"/>
        <color theme="1"/>
        <rFont val="Arial"/>
      </rPr>
      <t xml:space="preserve">
    Vorgehensweise: Import der Rohdaten aus der CSV-Datei.
    Bereinigung: Löschung von zwei Testzeilen (D-TEST1, D-TEST2), Korrektur von Tippfehlern bei Kategorien, Entfernung führender Leerzeichen bei den Vertriebsmitarbeitern und Vereinheitlichung der Spalte „Region“.
    Technik: Umwandlung der Spalten „UnitPrice“ und „Revenue“ in ein numerisches Zahlenformat.
    Kontrolle: Die Datenbasis umfasst nach der Bereinigung exakt 250 Transaktionen mit einem Gesamtumsatz von 364.634,55 €.
</t>
    </r>
    <r>
      <rPr>
        <b/>
        <sz val="14"/>
        <color theme="1"/>
        <rFont val="Arial"/>
      </rPr>
      <t>2. Registerkarte: Zusammenfassung</t>
    </r>
    <r>
      <rPr>
        <sz val="12"/>
        <color theme="1"/>
        <rFont val="Arial"/>
      </rPr>
      <t xml:space="preserve">
    Vorgehensweise: Anwendung statistischer Funktionen auf die Spalte „Revenue“.
    Methodik &amp; verwendete Formeln:
        Anzahl der Deals: =COUNT(Revenue) → 250
        Gesamtumsatz: =SUM(Revenue) → 364.634,55 €
        Mittelwert: =AVERAGE(Revenue) → 1.458,54 €
        Median: =MEDIAN(Revenue) → 386,76 €
        Minimum: =MIN(Revenue) → 41,17 €
        Maximum: =MAX(Revenue) → 46.616,00 €
        Spannweite (Bereich): =MAX(Revenue) - MIN(Revenue) → 46.574,83 €
        Standardabweichung: =STDEV(Revenue) → 3.963,94 €
        Quartil (Q1): =QUARTILE(Revenue, 1) → 131,40 €
        Quartil (Q3): =QUARTILE(Revenue, 3) → 994,38 €
</t>
    </r>
    <r>
      <rPr>
        <b/>
        <sz val="14"/>
        <color theme="1"/>
        <rFont val="Arial"/>
      </rPr>
      <t>3. Registerkarte: Pivot-Tabellen</t>
    </r>
    <r>
      <rPr>
        <sz val="12"/>
        <color theme="1"/>
        <rFont val="Arial"/>
      </rPr>
      <t xml:space="preserve">
    Vorgehensweise: Analyse der Teamleistung über zwei Pivot-Tabellen.
    Technik: Verwendung der „Summe von Revenue“ als Wertfeld.
    Auswertungen:
        Vertriebsmitarbeiter × Kategorie: Identifikation von Spezialisierungen der Mitarbeiter pro Produktlinie.
        Vertriebsmitarbeiter × Region: Analyse der regionalen Zuständigkeiten und Umsatzbeiträge.
</t>
    </r>
    <r>
      <rPr>
        <b/>
        <sz val="14"/>
        <color theme="1"/>
        <rFont val="Arial"/>
      </rPr>
      <t>4. Registerkarte: Top-Performer</t>
    </r>
    <r>
      <rPr>
        <sz val="12"/>
        <color theme="1"/>
        <rFont val="Arial"/>
      </rPr>
      <t xml:space="preserve">
    Vorgehensweise: Identifikation der Leistungsspitzen durch Sortier- und Filteransichten.
    Formeln &amp; Technik:
        Anzahl der Geschäfte: =COUNTIF() pro Vertriebsmitarbeiter, sortiert absteigend.
        Durchschnittsvolumen: Berechnung über =AVERAGEIF() pro Mitarbeiter.
        Größte Transaktionen: Anwendung der Funktion =SORT() (bzw. Filtern), um die Top 10 der „Revenue“-Spalte zu isolieren.
</t>
    </r>
    <r>
      <rPr>
        <b/>
        <sz val="14"/>
        <color theme="1"/>
        <rFont val="Arial"/>
      </rPr>
      <t>5. Registerkarte: Diagramme</t>
    </r>
    <r>
      <rPr>
        <sz val="12"/>
        <color theme="1"/>
        <rFont val="Arial"/>
      </rPr>
      <t xml:space="preserve">
    Vorgehensweise: Visuelle Aufbereitung zur Beantwortung der Fragen von Diego Vargas.
    Methodik: Erstellung von fünf Diagrammtypen (Liniendiagramm, Säulendiagramm, Histogramm, Streudiagramm, Boxplot).
    Standards: Alle Diagramme verwenden präzise „Takeaway“-Titel, eine einheitliche Akzentfarbe (Blau) für den Fokus und eine konsequente Nullpunkt-Skalierung bei Balkendarstellungen.
</t>
    </r>
    <r>
      <rPr>
        <b/>
        <sz val="14"/>
        <color theme="1"/>
        <rFont val="Arial"/>
      </rPr>
      <t>6. Registerkarte: README (dieses Dokument)</t>
    </r>
    <r>
      <rPr>
        <sz val="12"/>
        <color theme="1"/>
        <rFont val="Arial"/>
      </rPr>
      <t xml:space="preserve">
    Zweck: Dokumentation des gesamten Arbeitsablaufs und der getroffenen Annahmen, um Nicht-Analysten die Interpretation der vorliegenden Zahlen und Analysen zu erleichtern.</t>
    </r>
  </si>
  <si>
    <t>SUM of Revenue</t>
  </si>
  <si>
    <t>Gesamtergebnis</t>
  </si>
  <si>
    <t>Regiongesäubert</t>
  </si>
  <si>
    <t>Revenuegesäubert</t>
  </si>
  <si>
    <t>Liniendiagramm: 
Umsatzentwicklung (Jan, Feb, März)</t>
  </si>
  <si>
    <t>Balkendiagramm: 
Umsatz nach Vertriebsmitarbeiter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</si>
</sst>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0.00\ [$€-1]"/>
    <numFmt numFmtId="166" formatCode="#,##0\ [$€-1]"/>
    <numFmt numFmtId="167" formatCode="yyyy\.m"/>
    <numFmt numFmtId="168" formatCode="yyyy\.mm"/>
  </numFmts>
  <fonts count="17">
    <font>
      <sz val="10"/>
      <color rgb="FF000000"/>
      <name val="Arial"/>
      <scheme val="minor"/>
    </font>
    <font>
      <sz val="10"/>
      <color theme="1"/>
      <name val="Arial"/>
      <scheme val="minor"/>
    </font>
    <font>
      <b/>
      <sz val="15"/>
      <color theme="1"/>
      <name val="Arial"/>
      <scheme val="minor"/>
    </font>
    <font>
      <b/>
      <sz val="10"/>
      <color theme="1"/>
      <name val="Arial"/>
      <scheme val="minor"/>
    </font>
    <font>
      <sz val="10"/>
      <name val="Arial"/>
    </font>
    <font>
      <b/>
      <sz val="13"/>
      <color theme="1"/>
      <name val="Arial"/>
      <scheme val="minor"/>
    </font>
    <font>
      <b/>
      <sz val="11"/>
      <color theme="1"/>
      <name val="Arial"/>
      <scheme val="minor"/>
    </font>
    <font>
      <sz val="10"/>
      <color theme="1"/>
      <name val="Arial"/>
      <scheme val="minor"/>
    </font>
    <font>
      <b/>
      <sz val="10"/>
      <color theme="1"/>
      <name val="Arial"/>
      <scheme val="minor"/>
    </font>
    <font>
      <b/>
      <sz val="10"/>
      <color theme="1"/>
      <name val="Google Sans Text"/>
    </font>
    <font>
      <sz val="10"/>
      <color theme="1"/>
      <name val="Google Sans Text"/>
    </font>
    <font>
      <b/>
      <sz val="10"/>
      <color theme="1"/>
      <name val="Arial"/>
    </font>
    <font>
      <sz val="10"/>
      <color theme="1"/>
      <name val="Arial"/>
    </font>
    <font>
      <b/>
      <sz val="12"/>
      <color theme="1"/>
      <name val="Arial"/>
    </font>
    <font>
      <b/>
      <sz val="16"/>
      <color theme="1"/>
      <name val="Arial"/>
    </font>
    <font>
      <sz val="12"/>
      <color theme="1"/>
      <name val="Arial"/>
    </font>
    <font>
      <b/>
      <sz val="14"/>
      <color theme="1"/>
      <name val="Arial"/>
    </font>
  </fonts>
  <fills count="3">
    <fill>
      <patternFill patternType="none"/>
    </fill>
    <fill>
      <patternFill patternType="gray125"/>
    </fill>
    <fill>
      <patternFill patternType="solid">
        <fgColor rgb="FFFFFFFF"/>
        <bgColor rgb="FFFFFFFF"/>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vertical="top"/>
    </xf>
    <xf numFmtId="164" fontId="1" fillId="0" borderId="0" xfId="0" applyNumberFormat="1" applyFont="1"/>
    <xf numFmtId="165" fontId="1" fillId="0" borderId="0" xfId="0" applyNumberFormat="1" applyFont="1" applyAlignment="1">
      <alignment vertical="top"/>
    </xf>
    <xf numFmtId="167" fontId="1" fillId="0" borderId="0" xfId="0" applyNumberFormat="1" applyFont="1"/>
    <xf numFmtId="3" fontId="1" fillId="0" borderId="4" xfId="0" applyNumberFormat="1" applyFont="1" applyBorder="1"/>
    <xf numFmtId="165" fontId="1" fillId="0" borderId="4" xfId="0" applyNumberFormat="1" applyFont="1" applyBorder="1"/>
    <xf numFmtId="166" fontId="1" fillId="0" borderId="0" xfId="0" applyNumberFormat="1" applyFont="1"/>
    <xf numFmtId="0" fontId="1" fillId="0" borderId="0" xfId="0" applyFont="1" applyAlignment="1">
      <alignment wrapText="1"/>
    </xf>
    <xf numFmtId="0" fontId="5" fillId="0" borderId="0" xfId="0" applyFont="1" applyAlignment="1">
      <alignment horizontal="center"/>
    </xf>
    <xf numFmtId="0" fontId="6" fillId="0" borderId="0" xfId="0" applyFont="1" applyAlignment="1">
      <alignment horizontal="center"/>
    </xf>
    <xf numFmtId="0" fontId="3" fillId="0" borderId="4" xfId="0" applyFont="1" applyBorder="1"/>
    <xf numFmtId="0" fontId="3" fillId="0" borderId="4" xfId="0" applyFont="1" applyBorder="1" applyAlignment="1">
      <alignment horizontal="center"/>
    </xf>
    <xf numFmtId="165" fontId="1" fillId="0" borderId="0" xfId="0" applyNumberFormat="1" applyFont="1"/>
    <xf numFmtId="0" fontId="1" fillId="0" borderId="4" xfId="0" applyFont="1" applyBorder="1"/>
    <xf numFmtId="0" fontId="1" fillId="0" borderId="0" xfId="0" applyFont="1" applyAlignment="1">
      <alignment horizontal="left" vertical="top"/>
    </xf>
    <xf numFmtId="0" fontId="5" fillId="0" borderId="0" xfId="0" applyFont="1"/>
    <xf numFmtId="0" fontId="3" fillId="0" borderId="0" xfId="0" applyFont="1"/>
    <xf numFmtId="0" fontId="7" fillId="0" borderId="0" xfId="0" applyFont="1"/>
    <xf numFmtId="0" fontId="8" fillId="0" borderId="0" xfId="0" applyFont="1"/>
    <xf numFmtId="168" fontId="1" fillId="0" borderId="0" xfId="0" applyNumberFormat="1" applyFont="1"/>
    <xf numFmtId="0" fontId="6" fillId="0" borderId="4" xfId="0" applyFont="1" applyBorder="1" applyAlignment="1">
      <alignment horizontal="center"/>
    </xf>
    <xf numFmtId="166" fontId="1" fillId="0" borderId="4" xfId="0" applyNumberFormat="1" applyFont="1" applyBorder="1"/>
    <xf numFmtId="0" fontId="9" fillId="0" borderId="4" xfId="0" applyFont="1" applyBorder="1"/>
    <xf numFmtId="0" fontId="9" fillId="0" borderId="4" xfId="0" applyFont="1" applyBorder="1" applyAlignment="1">
      <alignment horizontal="center"/>
    </xf>
    <xf numFmtId="0" fontId="10" fillId="0" borderId="4" xfId="0" applyFont="1" applyBorder="1"/>
    <xf numFmtId="165" fontId="1" fillId="0" borderId="4" xfId="0" applyNumberFormat="1" applyFont="1" applyBorder="1" applyAlignment="1">
      <alignment horizontal="center"/>
    </xf>
    <xf numFmtId="165" fontId="3" fillId="0" borderId="0" xfId="0" applyNumberFormat="1" applyFont="1"/>
    <xf numFmtId="0" fontId="1" fillId="0" borderId="0" xfId="0" applyFont="1" applyAlignment="1">
      <alignment horizontal="center"/>
    </xf>
    <xf numFmtId="0" fontId="1" fillId="2" borderId="0" xfId="0" applyFont="1" applyFill="1"/>
    <xf numFmtId="0" fontId="0" fillId="0" borderId="5" xfId="0" pivotButton="1" applyBorder="1"/>
    <xf numFmtId="0" fontId="0" fillId="0" borderId="6" xfId="0" applyBorder="1"/>
    <xf numFmtId="0" fontId="0" fillId="0" borderId="7" xfId="0" applyBorder="1"/>
    <xf numFmtId="0" fontId="0" fillId="0" borderId="5" xfId="0" applyBorder="1"/>
    <xf numFmtId="0" fontId="0" fillId="0" borderId="8" xfId="0" applyBorder="1"/>
    <xf numFmtId="0" fontId="0" fillId="0" borderId="9" xfId="0" applyBorder="1"/>
    <xf numFmtId="0" fontId="0" fillId="0" borderId="10" xfId="0" applyBorder="1"/>
    <xf numFmtId="0" fontId="0" fillId="0" borderId="12" xfId="0" applyBorder="1"/>
    <xf numFmtId="0" fontId="4" fillId="0" borderId="3" xfId="0" applyFont="1" applyBorder="1"/>
    <xf numFmtId="0" fontId="5" fillId="0" borderId="1" xfId="0" applyFont="1" applyBorder="1" applyAlignment="1">
      <alignment horizontal="center" wrapText="1"/>
    </xf>
    <xf numFmtId="0" fontId="1" fillId="0" borderId="0" xfId="0" applyFont="1" applyAlignment="1">
      <alignment horizontal="left" vertical="top"/>
    </xf>
    <xf numFmtId="0" fontId="0" fillId="0" borderId="0" xfId="0"/>
    <xf numFmtId="0" fontId="5" fillId="0" borderId="1" xfId="0" applyFont="1" applyBorder="1" applyAlignment="1">
      <alignment horizontal="center"/>
    </xf>
    <xf numFmtId="0" fontId="2" fillId="0" borderId="1" xfId="0" applyFont="1" applyBorder="1" applyAlignment="1">
      <alignment horizontal="center"/>
    </xf>
    <xf numFmtId="0" fontId="4" fillId="0" borderId="2" xfId="0" applyFont="1" applyBorder="1"/>
    <xf numFmtId="0" fontId="3" fillId="0" borderId="1" xfId="0" applyFont="1" applyBorder="1"/>
    <xf numFmtId="0" fontId="1" fillId="0" borderId="0" xfId="0" applyFont="1" applyAlignment="1">
      <alignment wrapText="1"/>
    </xf>
    <xf numFmtId="0" fontId="5" fillId="0" borderId="0" xfId="0" applyFont="1" applyAlignment="1">
      <alignment horizontal="center"/>
    </xf>
    <xf numFmtId="0" fontId="3" fillId="0" borderId="1" xfId="0" applyFont="1" applyBorder="1" applyAlignment="1">
      <alignment horizontal="center"/>
    </xf>
    <xf numFmtId="0" fontId="2" fillId="0" borderId="0" xfId="0" applyFont="1" applyAlignment="1">
      <alignment horizontal="center"/>
    </xf>
    <xf numFmtId="0" fontId="7" fillId="0" borderId="0" xfId="0" applyFont="1" applyAlignment="1">
      <alignment vertical="top" wrapText="1"/>
    </xf>
    <xf numFmtId="2" fontId="0" fillId="0" borderId="5" xfId="0" applyNumberFormat="1" applyBorder="1"/>
    <xf numFmtId="2" fontId="0" fillId="0" borderId="8" xfId="0" applyNumberFormat="1" applyBorder="1"/>
    <xf numFmtId="2" fontId="0" fillId="0" borderId="9" xfId="0" applyNumberFormat="1" applyBorder="1"/>
    <xf numFmtId="2" fontId="0" fillId="0" borderId="10" xfId="0" applyNumberFormat="1" applyBorder="1"/>
    <xf numFmtId="2" fontId="0" fillId="0" borderId="0" xfId="0" applyNumberFormat="1"/>
    <xf numFmtId="2" fontId="0" fillId="0" borderId="11" xfId="0" applyNumberFormat="1" applyBorder="1"/>
    <xf numFmtId="2" fontId="0" fillId="0" borderId="12" xfId="0" applyNumberFormat="1" applyBorder="1"/>
    <xf numFmtId="2" fontId="0" fillId="0" borderId="13" xfId="0" applyNumberFormat="1" applyBorder="1"/>
    <xf numFmtId="2" fontId="0" fillId="0" borderId="14" xfId="0" applyNumberFormat="1" applyBorder="1"/>
    <xf numFmtId="0" fontId="5" fillId="0" borderId="15" xfId="0" applyFont="1" applyBorder="1" applyAlignment="1">
      <alignment horizontal="center" wrapText="1"/>
    </xf>
    <xf numFmtId="0" fontId="4" fillId="0" borderId="15" xfId="0" applyFont="1" applyBorder="1"/>
    <xf numFmtId="0" fontId="3" fillId="0" borderId="15" xfId="0" applyFont="1" applyBorder="1"/>
    <xf numFmtId="0" fontId="1" fillId="0" borderId="15" xfId="0" applyFont="1" applyBorder="1"/>
    <xf numFmtId="165" fontId="1" fillId="0" borderId="15" xfId="0" applyNumberFormat="1" applyFont="1" applyBorder="1"/>
    <xf numFmtId="0" fontId="5" fillId="0" borderId="15" xfId="0" applyFont="1" applyBorder="1" applyAlignment="1">
      <alignment horizontal="center" vertical="center" wrapText="1"/>
    </xf>
    <xf numFmtId="0" fontId="3" fillId="0" borderId="15" xfId="0" applyFont="1" applyBorder="1" applyAlignment="1">
      <alignment horizontal="center"/>
    </xf>
    <xf numFmtId="0" fontId="1" fillId="0" borderId="15" xfId="0" applyFont="1" applyBorder="1" applyAlignment="1">
      <alignment horizontal="center"/>
    </xf>
    <xf numFmtId="0" fontId="5" fillId="0" borderId="15" xfId="0" applyFont="1" applyBorder="1"/>
    <xf numFmtId="0" fontId="1" fillId="0" borderId="0" xfId="0" applyFont="1" applyAlignment="1"/>
    <xf numFmtId="0" fontId="12" fillId="0" borderId="0" xfId="0" applyFont="1" applyAlignment="1">
      <alignment horizontal="left" vertical="top" wrapText="1"/>
    </xf>
    <xf numFmtId="0" fontId="1" fillId="0" borderId="0" xfId="0" applyFont="1" applyAlignment="1">
      <alignment horizontal="left" vertical="top" wrapText="1"/>
    </xf>
  </cellXfs>
  <cellStyles count="1">
    <cellStyle name="Standard" xfId="0" builtinId="0"/>
  </cellStyles>
  <dxfs count="14">
    <dxf>
      <numFmt numFmtId="170" formatCode="0.0"/>
    </dxf>
    <dxf>
      <numFmt numFmtId="2" formatCode="0.00"/>
    </dxf>
    <dxf>
      <numFmt numFmtId="170" formatCode="0.0"/>
    </dxf>
    <dxf>
      <numFmt numFmtId="1" formatCode="0"/>
    </dxf>
    <dxf>
      <numFmt numFmtId="1" formatCode="0"/>
    </dxf>
    <dxf>
      <numFmt numFmtId="170" formatCode="0.0"/>
    </dxf>
    <dxf>
      <numFmt numFmtId="170" formatCode="0.0"/>
    </dxf>
    <dxf>
      <numFmt numFmtId="170" formatCode="0.0"/>
    </dxf>
    <dxf>
      <numFmt numFmtId="2" formatCode="0.00"/>
    </dxf>
    <dxf>
      <numFmt numFmtId="170" formatCode="0.0"/>
    </dxf>
    <dxf>
      <numFmt numFmtId="1" formatCode="0"/>
    </dxf>
    <dxf>
      <numFmt numFmtId="1" formatCode="0"/>
    </dxf>
    <dxf>
      <numFmt numFmtId="170" formatCode="0.0"/>
    </dxf>
    <dxf>
      <numFmt numFmtId="170"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lvl="0">
              <a:defRPr b="0">
                <a:solidFill>
                  <a:srgbClr val="666666"/>
                </a:solidFill>
                <a:latin typeface="+mn-lt"/>
              </a:defRPr>
            </a:pPr>
            <a:r>
              <a:rPr lang="de-DE" b="0">
                <a:solidFill>
                  <a:srgbClr val="666666"/>
                </a:solidFill>
                <a:latin typeface="+mn-lt"/>
              </a:rPr>
              <a:t>Der Umsatzrückgang nach Januar erfordert kurzfristige Vertriebsaktivitäten.</a:t>
            </a:r>
          </a:p>
        </c:rich>
      </c:tx>
      <c:overlay val="0"/>
    </c:title>
    <c:autoTitleDeleted val="0"/>
    <c:plotArea>
      <c:layout/>
      <c:lineChart>
        <c:grouping val="standard"/>
        <c:varyColors val="0"/>
        <c:ser>
          <c:idx val="0"/>
          <c:order val="0"/>
          <c:tx>
            <c:strRef>
              <c:f>Zusammenfassung!$B$53</c:f>
              <c:strCache>
                <c:ptCount val="1"/>
                <c:pt idx="0">
                  <c:v>Umsatz</c:v>
                </c:pt>
              </c:strCache>
            </c:strRef>
          </c:tx>
          <c:spPr>
            <a:ln cmpd="sng">
              <a:solidFill>
                <a:srgbClr val="0000FF">
                  <a:alpha val="100000"/>
                </a:srgbClr>
              </a:solidFill>
            </a:ln>
          </c:spPr>
          <c:marker>
            <c:symbol val="none"/>
          </c:marker>
          <c:cat>
            <c:strRef>
              <c:f>Zusammenfassung!$A$54:$A$56</c:f>
              <c:strCache>
                <c:ptCount val="3"/>
                <c:pt idx="0">
                  <c:v>Januar </c:v>
                </c:pt>
                <c:pt idx="1">
                  <c:v>Februar </c:v>
                </c:pt>
                <c:pt idx="2">
                  <c:v>März</c:v>
                </c:pt>
              </c:strCache>
            </c:strRef>
          </c:cat>
          <c:val>
            <c:numRef>
              <c:f>Zusammenfassung!$B$54:$B$56</c:f>
              <c:numCache>
                <c:formatCode>#,##0.00\ [$€-1]</c:formatCode>
                <c:ptCount val="3"/>
                <c:pt idx="0">
                  <c:v>186600.12000000011</c:v>
                </c:pt>
                <c:pt idx="1">
                  <c:v>85430.349999999991</c:v>
                </c:pt>
                <c:pt idx="2">
                  <c:v>92604.079999999987</c:v>
                </c:pt>
              </c:numCache>
            </c:numRef>
          </c:val>
          <c:smooth val="0"/>
          <c:extLst>
            <c:ext xmlns:c16="http://schemas.microsoft.com/office/drawing/2014/chart" uri="{C3380CC4-5D6E-409C-BE32-E72D297353CC}">
              <c16:uniqueId val="{00000000-7922-443A-B76B-DB5C485B7FAC}"/>
            </c:ext>
          </c:extLst>
        </c:ser>
        <c:dLbls>
          <c:showLegendKey val="0"/>
          <c:showVal val="0"/>
          <c:showCatName val="0"/>
          <c:showSerName val="0"/>
          <c:showPercent val="0"/>
          <c:showBubbleSize val="0"/>
        </c:dLbls>
        <c:smooth val="0"/>
        <c:axId val="623480692"/>
        <c:axId val="1108007589"/>
      </c:lineChart>
      <c:catAx>
        <c:axId val="623480692"/>
        <c:scaling>
          <c:orientation val="minMax"/>
        </c:scaling>
        <c:delete val="0"/>
        <c:axPos val="b"/>
        <c:title>
          <c:tx>
            <c:rich>
              <a:bodyPr/>
              <a:lstStyle/>
              <a:p>
                <a:pPr lvl="0">
                  <a:defRPr b="0">
                    <a:solidFill>
                      <a:srgbClr val="000000"/>
                    </a:solidFill>
                    <a:latin typeface="+mn-lt"/>
                  </a:defRPr>
                </a:pPr>
                <a:r>
                  <a:rPr lang="de-DE" b="0">
                    <a:solidFill>
                      <a:srgbClr val="000000"/>
                    </a:solidFill>
                    <a:latin typeface="+mn-lt"/>
                  </a:rPr>
                  <a:t>Monat</a:t>
                </a:r>
              </a:p>
            </c:rich>
          </c:tx>
          <c:overlay val="0"/>
        </c:title>
        <c:numFmt formatCode="&quot; &quot;mmmm&quot; &quot;" sourceLinked="0"/>
        <c:majorTickMark val="none"/>
        <c:minorTickMark val="none"/>
        <c:tickLblPos val="nextTo"/>
        <c:spPr>
          <a:ln>
            <a:noFill/>
          </a:ln>
        </c:spPr>
        <c:txPr>
          <a:bodyPr/>
          <a:lstStyle/>
          <a:p>
            <a:pPr lvl="0">
              <a:defRPr b="0">
                <a:solidFill>
                  <a:srgbClr val="666666"/>
                </a:solidFill>
                <a:latin typeface="+mn-lt"/>
              </a:defRPr>
            </a:pPr>
            <a:endParaRPr lang="de-DE"/>
          </a:p>
        </c:txPr>
        <c:crossAx val="1108007589"/>
        <c:crosses val="autoZero"/>
        <c:auto val="1"/>
        <c:lblAlgn val="ctr"/>
        <c:lblOffset val="100"/>
        <c:noMultiLvlLbl val="1"/>
      </c:catAx>
      <c:valAx>
        <c:axId val="1108007589"/>
        <c:scaling>
          <c:orientation val="minMax"/>
        </c:scaling>
        <c:delete val="0"/>
        <c:axPos val="l"/>
        <c:majorGridlines>
          <c:spPr>
            <a:ln>
              <a:solidFill>
                <a:srgbClr val="666666"/>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de-DE" b="0">
                    <a:solidFill>
                      <a:srgbClr val="000000"/>
                    </a:solidFill>
                    <a:latin typeface="+mn-lt"/>
                  </a:rPr>
                  <a:t>Summe</a:t>
                </a:r>
              </a:p>
            </c:rich>
          </c:tx>
          <c:overlay val="0"/>
        </c:title>
        <c:numFmt formatCode="#,##0.00\ [$€-1]" sourceLinked="1"/>
        <c:majorTickMark val="none"/>
        <c:minorTickMark val="none"/>
        <c:tickLblPos val="nextTo"/>
        <c:spPr>
          <a:ln>
            <a:noFill/>
          </a:ln>
        </c:spPr>
        <c:txPr>
          <a:bodyPr/>
          <a:lstStyle/>
          <a:p>
            <a:pPr lvl="0">
              <a:defRPr b="0">
                <a:solidFill>
                  <a:srgbClr val="666666"/>
                </a:solidFill>
                <a:latin typeface="+mn-lt"/>
              </a:defRPr>
            </a:pPr>
            <a:endParaRPr lang="de-DE"/>
          </a:p>
        </c:txPr>
        <c:crossAx val="623480692"/>
        <c:crosses val="autoZero"/>
        <c:crossBetween val="between"/>
      </c:valAx>
    </c:plotArea>
    <c:legend>
      <c:legendPos val="r"/>
      <c:overlay val="0"/>
      <c:txPr>
        <a:bodyPr/>
        <a:lstStyle/>
        <a:p>
          <a:pPr lvl="0">
            <a:defRPr b="0">
              <a:solidFill>
                <a:srgbClr val="999999"/>
              </a:solidFill>
              <a:latin typeface="+mn-lt"/>
            </a:defRPr>
          </a:pPr>
          <a:endParaRPr lang="de-DE"/>
        </a:p>
      </c:txPr>
    </c:legend>
    <c:plotVisOnly val="1"/>
    <c:dispBlanksAs val="zero"/>
    <c:showDLblsOverMax val="1"/>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lvl="0">
              <a:defRPr b="0">
                <a:solidFill>
                  <a:srgbClr val="757575"/>
                </a:solidFill>
                <a:latin typeface="+mn-lt"/>
              </a:defRPr>
            </a:pPr>
            <a:r>
              <a:rPr lang="de-DE" b="0">
                <a:solidFill>
                  <a:srgbClr val="757575"/>
                </a:solidFill>
                <a:latin typeface="+mn-lt"/>
              </a:rPr>
              <a:t>Marcus Johnson führt das Vertriebsteam im Q1 an und setzt den internen Leistungsbenchmark.</a:t>
            </a:r>
          </a:p>
        </c:rich>
      </c:tx>
      <c:overlay val="0"/>
    </c:title>
    <c:autoTitleDeleted val="0"/>
    <c:plotArea>
      <c:layout/>
      <c:barChart>
        <c:barDir val="bar"/>
        <c:grouping val="clustered"/>
        <c:varyColors val="1"/>
        <c:ser>
          <c:idx val="0"/>
          <c:order val="0"/>
          <c:tx>
            <c:strRef>
              <c:f>Zusammenfassung!$B$59</c:f>
              <c:strCache>
                <c:ptCount val="1"/>
                <c:pt idx="0">
                  <c:v>Umsatz</c:v>
                </c:pt>
              </c:strCache>
            </c:strRef>
          </c:tx>
          <c:spPr>
            <a:solidFill>
              <a:srgbClr val="0000FF"/>
            </a:solidFill>
            <a:ln cmpd="sng">
              <a:noFill/>
            </a:ln>
          </c:spPr>
          <c:invertIfNegative val="1"/>
          <c:dPt>
            <c:idx val="0"/>
            <c:invertIfNegative val="1"/>
            <c:bubble3D val="0"/>
            <c:extLst>
              <c:ext xmlns:c16="http://schemas.microsoft.com/office/drawing/2014/chart" uri="{C3380CC4-5D6E-409C-BE32-E72D297353CC}">
                <c16:uniqueId val="{00000000-4F36-4400-A930-38340CABD0B9}"/>
              </c:ext>
            </c:extLst>
          </c:dPt>
          <c:dPt>
            <c:idx val="1"/>
            <c:invertIfNegative val="1"/>
            <c:bubble3D val="0"/>
            <c:spPr>
              <a:solidFill>
                <a:srgbClr val="999999"/>
              </a:solidFill>
              <a:ln cmpd="sng">
                <a:noFill/>
              </a:ln>
            </c:spPr>
            <c:extLst>
              <c:ext xmlns:c16="http://schemas.microsoft.com/office/drawing/2014/chart" uri="{C3380CC4-5D6E-409C-BE32-E72D297353CC}">
                <c16:uniqueId val="{00000002-4F36-4400-A930-38340CABD0B9}"/>
              </c:ext>
            </c:extLst>
          </c:dPt>
          <c:dPt>
            <c:idx val="2"/>
            <c:invertIfNegative val="1"/>
            <c:bubble3D val="0"/>
            <c:spPr>
              <a:solidFill>
                <a:srgbClr val="999999"/>
              </a:solidFill>
              <a:ln cmpd="sng">
                <a:noFill/>
              </a:ln>
            </c:spPr>
            <c:extLst>
              <c:ext xmlns:c16="http://schemas.microsoft.com/office/drawing/2014/chart" uri="{C3380CC4-5D6E-409C-BE32-E72D297353CC}">
                <c16:uniqueId val="{00000004-4F36-4400-A930-38340CABD0B9}"/>
              </c:ext>
            </c:extLst>
          </c:dPt>
          <c:dPt>
            <c:idx val="3"/>
            <c:invertIfNegative val="1"/>
            <c:bubble3D val="0"/>
            <c:spPr>
              <a:solidFill>
                <a:srgbClr val="999999"/>
              </a:solidFill>
              <a:ln cmpd="sng">
                <a:noFill/>
              </a:ln>
            </c:spPr>
            <c:extLst>
              <c:ext xmlns:c16="http://schemas.microsoft.com/office/drawing/2014/chart" uri="{C3380CC4-5D6E-409C-BE32-E72D297353CC}">
                <c16:uniqueId val="{00000006-4F36-4400-A930-38340CABD0B9}"/>
              </c:ext>
            </c:extLst>
          </c:dPt>
          <c:dPt>
            <c:idx val="4"/>
            <c:invertIfNegative val="1"/>
            <c:bubble3D val="0"/>
            <c:spPr>
              <a:solidFill>
                <a:srgbClr val="999999"/>
              </a:solidFill>
              <a:ln cmpd="sng">
                <a:noFill/>
              </a:ln>
            </c:spPr>
            <c:extLst>
              <c:ext xmlns:c16="http://schemas.microsoft.com/office/drawing/2014/chart" uri="{C3380CC4-5D6E-409C-BE32-E72D297353CC}">
                <c16:uniqueId val="{00000008-4F36-4400-A930-38340CABD0B9}"/>
              </c:ext>
            </c:extLst>
          </c:dPt>
          <c:cat>
            <c:strRef>
              <c:f>Zusammenfassung!$A$60:$A$64</c:f>
              <c:strCache>
                <c:ptCount val="5"/>
                <c:pt idx="0">
                  <c:v>Marcus Johnson</c:v>
                </c:pt>
                <c:pt idx="1">
                  <c:v>Nina Petrov</c:v>
                </c:pt>
                <c:pt idx="2">
                  <c:v>David Kim</c:v>
                </c:pt>
                <c:pt idx="3">
                  <c:v>Aisha Hassan</c:v>
                </c:pt>
                <c:pt idx="4">
                  <c:v>Carlos Mendez</c:v>
                </c:pt>
              </c:strCache>
            </c:strRef>
          </c:cat>
          <c:val>
            <c:numRef>
              <c:f>Zusammenfassung!$B$60:$B$64</c:f>
              <c:numCache>
                <c:formatCode>#,##0.00\ [$€-1]</c:formatCode>
                <c:ptCount val="5"/>
                <c:pt idx="0">
                  <c:v>78951.97</c:v>
                </c:pt>
                <c:pt idx="1">
                  <c:v>64774.739999999991</c:v>
                </c:pt>
                <c:pt idx="2">
                  <c:v>41052.589999999997</c:v>
                </c:pt>
                <c:pt idx="3">
                  <c:v>33871.149999999994</c:v>
                </c:pt>
                <c:pt idx="4">
                  <c:v>24711.19</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9-4F36-4400-A930-38340CABD0B9}"/>
            </c:ext>
          </c:extLst>
        </c:ser>
        <c:dLbls>
          <c:showLegendKey val="0"/>
          <c:showVal val="0"/>
          <c:showCatName val="0"/>
          <c:showSerName val="0"/>
          <c:showPercent val="0"/>
          <c:showBubbleSize val="0"/>
        </c:dLbls>
        <c:gapWidth val="150"/>
        <c:axId val="2022476098"/>
        <c:axId val="1818286053"/>
      </c:barChart>
      <c:catAx>
        <c:axId val="2022476098"/>
        <c:scaling>
          <c:orientation val="maxMin"/>
        </c:scaling>
        <c:delete val="0"/>
        <c:axPos val="l"/>
        <c:title>
          <c:tx>
            <c:rich>
              <a:bodyPr/>
              <a:lstStyle/>
              <a:p>
                <a:pPr lvl="0">
                  <a:defRPr b="0">
                    <a:solidFill>
                      <a:srgbClr val="000000"/>
                    </a:solidFill>
                    <a:latin typeface="+mn-lt"/>
                  </a:defRPr>
                </a:pPr>
                <a:r>
                  <a:rPr lang="de-DE" sz="1000" b="0" i="0" u="none" strike="noStrike" baseline="0"/>
                  <a:t>Vertriebsmitarbeiter </a:t>
                </a:r>
                <a:endParaRPr lang="de-DE" b="0">
                  <a:solidFill>
                    <a:srgbClr val="000000"/>
                  </a:solidFill>
                  <a:latin typeface="+mn-lt"/>
                </a:endParaRP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de-DE"/>
          </a:p>
        </c:txPr>
        <c:crossAx val="1818286053"/>
        <c:crosses val="autoZero"/>
        <c:auto val="1"/>
        <c:lblAlgn val="ctr"/>
        <c:lblOffset val="100"/>
        <c:noMultiLvlLbl val="1"/>
      </c:catAx>
      <c:valAx>
        <c:axId val="1818286053"/>
        <c:scaling>
          <c:orientation val="minMax"/>
          <c:max val="8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de-DE" b="0">
                    <a:solidFill>
                      <a:srgbClr val="000000"/>
                    </a:solidFill>
                    <a:latin typeface="+mn-lt"/>
                  </a:rPr>
                  <a:t>Umsatz</a:t>
                </a:r>
              </a:p>
            </c:rich>
          </c:tx>
          <c:overlay val="0"/>
        </c:title>
        <c:numFmt formatCode="#,##0\ [$€-1]" sourceLinked="0"/>
        <c:majorTickMark val="none"/>
        <c:minorTickMark val="none"/>
        <c:tickLblPos val="nextTo"/>
        <c:spPr>
          <a:ln>
            <a:noFill/>
          </a:ln>
        </c:spPr>
        <c:txPr>
          <a:bodyPr/>
          <a:lstStyle/>
          <a:p>
            <a:pPr lvl="0">
              <a:defRPr b="0">
                <a:solidFill>
                  <a:srgbClr val="000000"/>
                </a:solidFill>
                <a:latin typeface="+mn-lt"/>
              </a:defRPr>
            </a:pPr>
            <a:endParaRPr lang="de-DE"/>
          </a:p>
        </c:txPr>
        <c:crossAx val="2022476098"/>
        <c:crosses val="max"/>
        <c:crossBetween val="between"/>
      </c:valAx>
    </c:plotArea>
    <c:plotVisOnly val="1"/>
    <c:dispBlanksAs val="zero"/>
    <c:showDLblsOverMax val="1"/>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lvl="0">
              <a:defRPr b="0">
                <a:solidFill>
                  <a:srgbClr val="666666"/>
                </a:solidFill>
                <a:latin typeface="+mn-lt"/>
              </a:defRPr>
            </a:pPr>
            <a:r>
              <a:rPr lang="de-DE" b="0">
                <a:solidFill>
                  <a:srgbClr val="666666"/>
                </a:solidFill>
                <a:latin typeface="+mn-lt"/>
              </a:rPr>
              <a:t>Auch bei größeren Bestellmengen bleibt der Stückpreis insgesamt stabil.</a:t>
            </a:r>
          </a:p>
        </c:rich>
      </c:tx>
      <c:overlay val="0"/>
    </c:title>
    <c:autoTitleDeleted val="0"/>
    <c:plotArea>
      <c:layout/>
      <c:scatterChart>
        <c:scatterStyle val="lineMarker"/>
        <c:varyColors val="0"/>
        <c:ser>
          <c:idx val="0"/>
          <c:order val="0"/>
          <c:tx>
            <c:strRef>
              <c:f>Zusammenfassung!$I$99</c:f>
              <c:strCache>
                <c:ptCount val="1"/>
                <c:pt idx="0">
                  <c:v>UnitPrice</c:v>
                </c:pt>
              </c:strCache>
            </c:strRef>
          </c:tx>
          <c:spPr>
            <a:ln>
              <a:noFill/>
            </a:ln>
          </c:spPr>
          <c:marker>
            <c:symbol val="circle"/>
            <c:size val="7"/>
            <c:spPr>
              <a:solidFill>
                <a:srgbClr val="0000FF"/>
              </a:solidFill>
              <a:ln cmpd="sng">
                <a:solidFill>
                  <a:srgbClr val="0000FF"/>
                </a:solidFill>
              </a:ln>
            </c:spPr>
          </c:marker>
          <c:xVal>
            <c:numRef>
              <c:f>Zusammenfassung!$H$100:$H$349</c:f>
              <c:numCache>
                <c:formatCode>General</c:formatCode>
                <c:ptCount val="250"/>
                <c:pt idx="0">
                  <c:v>1</c:v>
                </c:pt>
                <c:pt idx="1">
                  <c:v>1</c:v>
                </c:pt>
                <c:pt idx="2">
                  <c:v>10</c:v>
                </c:pt>
                <c:pt idx="3">
                  <c:v>1</c:v>
                </c:pt>
                <c:pt idx="4">
                  <c:v>1</c:v>
                </c:pt>
                <c:pt idx="5">
                  <c:v>1</c:v>
                </c:pt>
                <c:pt idx="6">
                  <c:v>1</c:v>
                </c:pt>
                <c:pt idx="7">
                  <c:v>20</c:v>
                </c:pt>
                <c:pt idx="8">
                  <c:v>1</c:v>
                </c:pt>
                <c:pt idx="9">
                  <c:v>1</c:v>
                </c:pt>
                <c:pt idx="10">
                  <c:v>1</c:v>
                </c:pt>
                <c:pt idx="11">
                  <c:v>5</c:v>
                </c:pt>
                <c:pt idx="12">
                  <c:v>1</c:v>
                </c:pt>
                <c:pt idx="13">
                  <c:v>1</c:v>
                </c:pt>
                <c:pt idx="14">
                  <c:v>1</c:v>
                </c:pt>
                <c:pt idx="15">
                  <c:v>2</c:v>
                </c:pt>
                <c:pt idx="16">
                  <c:v>1</c:v>
                </c:pt>
                <c:pt idx="17">
                  <c:v>1</c:v>
                </c:pt>
                <c:pt idx="18">
                  <c:v>1</c:v>
                </c:pt>
                <c:pt idx="19">
                  <c:v>10</c:v>
                </c:pt>
                <c:pt idx="20">
                  <c:v>20</c:v>
                </c:pt>
                <c:pt idx="21">
                  <c:v>2</c:v>
                </c:pt>
                <c:pt idx="22">
                  <c:v>20</c:v>
                </c:pt>
                <c:pt idx="23">
                  <c:v>1</c:v>
                </c:pt>
                <c:pt idx="24">
                  <c:v>10</c:v>
                </c:pt>
                <c:pt idx="25">
                  <c:v>5</c:v>
                </c:pt>
                <c:pt idx="26">
                  <c:v>20</c:v>
                </c:pt>
                <c:pt idx="27">
                  <c:v>5</c:v>
                </c:pt>
                <c:pt idx="28">
                  <c:v>50</c:v>
                </c:pt>
                <c:pt idx="29">
                  <c:v>1</c:v>
                </c:pt>
                <c:pt idx="30">
                  <c:v>50</c:v>
                </c:pt>
                <c:pt idx="31">
                  <c:v>1</c:v>
                </c:pt>
                <c:pt idx="32">
                  <c:v>2</c:v>
                </c:pt>
                <c:pt idx="33">
                  <c:v>2</c:v>
                </c:pt>
                <c:pt idx="34">
                  <c:v>1</c:v>
                </c:pt>
                <c:pt idx="35">
                  <c:v>1</c:v>
                </c:pt>
                <c:pt idx="36">
                  <c:v>1</c:v>
                </c:pt>
                <c:pt idx="37">
                  <c:v>1</c:v>
                </c:pt>
                <c:pt idx="38">
                  <c:v>1</c:v>
                </c:pt>
                <c:pt idx="39">
                  <c:v>1</c:v>
                </c:pt>
                <c:pt idx="40">
                  <c:v>1</c:v>
                </c:pt>
                <c:pt idx="41">
                  <c:v>1</c:v>
                </c:pt>
                <c:pt idx="42">
                  <c:v>5</c:v>
                </c:pt>
                <c:pt idx="43">
                  <c:v>10</c:v>
                </c:pt>
                <c:pt idx="44">
                  <c:v>5</c:v>
                </c:pt>
                <c:pt idx="45">
                  <c:v>2</c:v>
                </c:pt>
                <c:pt idx="46">
                  <c:v>20</c:v>
                </c:pt>
                <c:pt idx="47">
                  <c:v>2</c:v>
                </c:pt>
                <c:pt idx="48">
                  <c:v>1</c:v>
                </c:pt>
                <c:pt idx="49">
                  <c:v>5</c:v>
                </c:pt>
                <c:pt idx="50">
                  <c:v>2</c:v>
                </c:pt>
                <c:pt idx="51">
                  <c:v>10</c:v>
                </c:pt>
                <c:pt idx="52">
                  <c:v>50</c:v>
                </c:pt>
                <c:pt idx="53">
                  <c:v>2</c:v>
                </c:pt>
                <c:pt idx="54">
                  <c:v>5</c:v>
                </c:pt>
                <c:pt idx="55">
                  <c:v>2</c:v>
                </c:pt>
                <c:pt idx="56">
                  <c:v>2</c:v>
                </c:pt>
                <c:pt idx="57">
                  <c:v>5</c:v>
                </c:pt>
                <c:pt idx="58">
                  <c:v>1</c:v>
                </c:pt>
                <c:pt idx="59">
                  <c:v>5</c:v>
                </c:pt>
                <c:pt idx="60">
                  <c:v>5</c:v>
                </c:pt>
                <c:pt idx="61">
                  <c:v>10</c:v>
                </c:pt>
                <c:pt idx="62">
                  <c:v>1</c:v>
                </c:pt>
                <c:pt idx="63">
                  <c:v>1</c:v>
                </c:pt>
                <c:pt idx="64">
                  <c:v>2</c:v>
                </c:pt>
                <c:pt idx="65">
                  <c:v>2</c:v>
                </c:pt>
                <c:pt idx="66">
                  <c:v>20</c:v>
                </c:pt>
                <c:pt idx="67">
                  <c:v>1</c:v>
                </c:pt>
                <c:pt idx="68">
                  <c:v>1</c:v>
                </c:pt>
                <c:pt idx="69">
                  <c:v>20</c:v>
                </c:pt>
                <c:pt idx="70">
                  <c:v>1</c:v>
                </c:pt>
                <c:pt idx="71">
                  <c:v>1</c:v>
                </c:pt>
                <c:pt idx="72">
                  <c:v>2</c:v>
                </c:pt>
                <c:pt idx="73">
                  <c:v>1</c:v>
                </c:pt>
                <c:pt idx="74">
                  <c:v>5</c:v>
                </c:pt>
                <c:pt idx="75">
                  <c:v>1</c:v>
                </c:pt>
                <c:pt idx="76">
                  <c:v>1</c:v>
                </c:pt>
                <c:pt idx="77">
                  <c:v>2</c:v>
                </c:pt>
                <c:pt idx="78">
                  <c:v>1</c:v>
                </c:pt>
                <c:pt idx="79">
                  <c:v>1</c:v>
                </c:pt>
                <c:pt idx="80">
                  <c:v>1</c:v>
                </c:pt>
                <c:pt idx="81">
                  <c:v>1</c:v>
                </c:pt>
                <c:pt idx="82">
                  <c:v>5</c:v>
                </c:pt>
                <c:pt idx="83">
                  <c:v>2</c:v>
                </c:pt>
                <c:pt idx="84">
                  <c:v>5</c:v>
                </c:pt>
                <c:pt idx="85">
                  <c:v>1</c:v>
                </c:pt>
                <c:pt idx="86">
                  <c:v>2</c:v>
                </c:pt>
                <c:pt idx="87">
                  <c:v>2</c:v>
                </c:pt>
                <c:pt idx="88">
                  <c:v>1</c:v>
                </c:pt>
                <c:pt idx="89">
                  <c:v>5</c:v>
                </c:pt>
                <c:pt idx="90">
                  <c:v>1</c:v>
                </c:pt>
                <c:pt idx="91">
                  <c:v>1</c:v>
                </c:pt>
                <c:pt idx="92">
                  <c:v>20</c:v>
                </c:pt>
                <c:pt idx="93">
                  <c:v>5</c:v>
                </c:pt>
                <c:pt idx="94">
                  <c:v>2</c:v>
                </c:pt>
                <c:pt idx="95">
                  <c:v>1</c:v>
                </c:pt>
                <c:pt idx="96">
                  <c:v>1</c:v>
                </c:pt>
                <c:pt idx="97">
                  <c:v>2</c:v>
                </c:pt>
                <c:pt idx="98">
                  <c:v>1</c:v>
                </c:pt>
                <c:pt idx="99">
                  <c:v>20</c:v>
                </c:pt>
                <c:pt idx="100">
                  <c:v>5</c:v>
                </c:pt>
                <c:pt idx="101">
                  <c:v>1</c:v>
                </c:pt>
                <c:pt idx="102">
                  <c:v>2</c:v>
                </c:pt>
                <c:pt idx="103">
                  <c:v>1</c:v>
                </c:pt>
                <c:pt idx="104">
                  <c:v>1</c:v>
                </c:pt>
                <c:pt idx="105">
                  <c:v>20</c:v>
                </c:pt>
                <c:pt idx="106">
                  <c:v>50</c:v>
                </c:pt>
                <c:pt idx="107">
                  <c:v>10</c:v>
                </c:pt>
                <c:pt idx="108">
                  <c:v>50</c:v>
                </c:pt>
                <c:pt idx="109">
                  <c:v>1</c:v>
                </c:pt>
                <c:pt idx="110">
                  <c:v>2</c:v>
                </c:pt>
                <c:pt idx="111">
                  <c:v>5</c:v>
                </c:pt>
                <c:pt idx="112">
                  <c:v>2</c:v>
                </c:pt>
                <c:pt idx="113">
                  <c:v>2</c:v>
                </c:pt>
                <c:pt idx="114">
                  <c:v>2</c:v>
                </c:pt>
                <c:pt idx="115">
                  <c:v>1</c:v>
                </c:pt>
                <c:pt idx="116">
                  <c:v>1</c:v>
                </c:pt>
                <c:pt idx="117">
                  <c:v>1</c:v>
                </c:pt>
                <c:pt idx="118">
                  <c:v>5</c:v>
                </c:pt>
                <c:pt idx="119">
                  <c:v>1</c:v>
                </c:pt>
                <c:pt idx="120">
                  <c:v>1</c:v>
                </c:pt>
                <c:pt idx="121">
                  <c:v>10</c:v>
                </c:pt>
                <c:pt idx="122">
                  <c:v>1</c:v>
                </c:pt>
                <c:pt idx="123">
                  <c:v>2</c:v>
                </c:pt>
                <c:pt idx="124">
                  <c:v>1</c:v>
                </c:pt>
                <c:pt idx="125">
                  <c:v>5</c:v>
                </c:pt>
                <c:pt idx="126">
                  <c:v>2</c:v>
                </c:pt>
                <c:pt idx="127">
                  <c:v>1</c:v>
                </c:pt>
                <c:pt idx="128">
                  <c:v>1</c:v>
                </c:pt>
                <c:pt idx="129">
                  <c:v>20</c:v>
                </c:pt>
                <c:pt idx="130">
                  <c:v>5</c:v>
                </c:pt>
                <c:pt idx="131">
                  <c:v>50</c:v>
                </c:pt>
                <c:pt idx="132">
                  <c:v>1</c:v>
                </c:pt>
                <c:pt idx="133">
                  <c:v>1</c:v>
                </c:pt>
                <c:pt idx="134">
                  <c:v>1</c:v>
                </c:pt>
                <c:pt idx="135">
                  <c:v>10</c:v>
                </c:pt>
                <c:pt idx="136">
                  <c:v>10</c:v>
                </c:pt>
                <c:pt idx="137">
                  <c:v>5</c:v>
                </c:pt>
                <c:pt idx="138">
                  <c:v>1</c:v>
                </c:pt>
                <c:pt idx="139">
                  <c:v>2</c:v>
                </c:pt>
                <c:pt idx="140">
                  <c:v>1</c:v>
                </c:pt>
                <c:pt idx="141">
                  <c:v>1</c:v>
                </c:pt>
                <c:pt idx="142">
                  <c:v>2</c:v>
                </c:pt>
                <c:pt idx="143">
                  <c:v>1</c:v>
                </c:pt>
                <c:pt idx="144">
                  <c:v>1</c:v>
                </c:pt>
                <c:pt idx="145">
                  <c:v>2</c:v>
                </c:pt>
                <c:pt idx="146">
                  <c:v>10</c:v>
                </c:pt>
                <c:pt idx="147">
                  <c:v>1</c:v>
                </c:pt>
                <c:pt idx="148">
                  <c:v>10</c:v>
                </c:pt>
                <c:pt idx="149">
                  <c:v>20</c:v>
                </c:pt>
                <c:pt idx="150">
                  <c:v>10</c:v>
                </c:pt>
                <c:pt idx="151">
                  <c:v>1</c:v>
                </c:pt>
                <c:pt idx="152">
                  <c:v>1</c:v>
                </c:pt>
                <c:pt idx="153">
                  <c:v>10</c:v>
                </c:pt>
                <c:pt idx="154">
                  <c:v>1</c:v>
                </c:pt>
                <c:pt idx="155">
                  <c:v>2</c:v>
                </c:pt>
                <c:pt idx="156">
                  <c:v>5</c:v>
                </c:pt>
                <c:pt idx="157">
                  <c:v>5</c:v>
                </c:pt>
                <c:pt idx="158">
                  <c:v>1</c:v>
                </c:pt>
                <c:pt idx="159">
                  <c:v>1</c:v>
                </c:pt>
                <c:pt idx="160">
                  <c:v>5</c:v>
                </c:pt>
                <c:pt idx="161">
                  <c:v>2</c:v>
                </c:pt>
                <c:pt idx="162">
                  <c:v>10</c:v>
                </c:pt>
                <c:pt idx="163">
                  <c:v>20</c:v>
                </c:pt>
                <c:pt idx="164">
                  <c:v>1</c:v>
                </c:pt>
                <c:pt idx="165">
                  <c:v>5</c:v>
                </c:pt>
                <c:pt idx="166">
                  <c:v>5</c:v>
                </c:pt>
                <c:pt idx="167">
                  <c:v>50</c:v>
                </c:pt>
                <c:pt idx="168">
                  <c:v>1</c:v>
                </c:pt>
                <c:pt idx="169">
                  <c:v>2</c:v>
                </c:pt>
                <c:pt idx="170">
                  <c:v>1</c:v>
                </c:pt>
                <c:pt idx="171">
                  <c:v>10</c:v>
                </c:pt>
                <c:pt idx="172">
                  <c:v>2</c:v>
                </c:pt>
                <c:pt idx="173">
                  <c:v>1</c:v>
                </c:pt>
                <c:pt idx="174">
                  <c:v>1</c:v>
                </c:pt>
                <c:pt idx="175">
                  <c:v>1</c:v>
                </c:pt>
                <c:pt idx="176">
                  <c:v>1</c:v>
                </c:pt>
                <c:pt idx="177">
                  <c:v>20</c:v>
                </c:pt>
                <c:pt idx="178">
                  <c:v>1</c:v>
                </c:pt>
                <c:pt idx="179">
                  <c:v>1</c:v>
                </c:pt>
                <c:pt idx="180">
                  <c:v>1</c:v>
                </c:pt>
                <c:pt idx="181">
                  <c:v>10</c:v>
                </c:pt>
                <c:pt idx="182">
                  <c:v>2</c:v>
                </c:pt>
                <c:pt idx="183">
                  <c:v>5</c:v>
                </c:pt>
                <c:pt idx="184">
                  <c:v>2</c:v>
                </c:pt>
                <c:pt idx="185">
                  <c:v>1</c:v>
                </c:pt>
                <c:pt idx="186">
                  <c:v>2</c:v>
                </c:pt>
                <c:pt idx="187">
                  <c:v>1</c:v>
                </c:pt>
                <c:pt idx="188">
                  <c:v>1</c:v>
                </c:pt>
                <c:pt idx="189">
                  <c:v>5</c:v>
                </c:pt>
                <c:pt idx="190">
                  <c:v>1</c:v>
                </c:pt>
                <c:pt idx="191">
                  <c:v>2</c:v>
                </c:pt>
                <c:pt idx="192">
                  <c:v>20</c:v>
                </c:pt>
                <c:pt idx="193">
                  <c:v>2</c:v>
                </c:pt>
                <c:pt idx="194">
                  <c:v>20</c:v>
                </c:pt>
                <c:pt idx="195">
                  <c:v>2</c:v>
                </c:pt>
                <c:pt idx="196">
                  <c:v>20</c:v>
                </c:pt>
                <c:pt idx="197">
                  <c:v>1</c:v>
                </c:pt>
                <c:pt idx="198">
                  <c:v>1</c:v>
                </c:pt>
                <c:pt idx="199">
                  <c:v>1</c:v>
                </c:pt>
                <c:pt idx="200">
                  <c:v>1</c:v>
                </c:pt>
                <c:pt idx="201">
                  <c:v>5</c:v>
                </c:pt>
                <c:pt idx="202">
                  <c:v>1</c:v>
                </c:pt>
                <c:pt idx="203">
                  <c:v>1</c:v>
                </c:pt>
                <c:pt idx="204">
                  <c:v>2</c:v>
                </c:pt>
                <c:pt idx="205">
                  <c:v>5</c:v>
                </c:pt>
                <c:pt idx="206">
                  <c:v>20</c:v>
                </c:pt>
                <c:pt idx="207">
                  <c:v>1</c:v>
                </c:pt>
                <c:pt idx="208">
                  <c:v>1</c:v>
                </c:pt>
                <c:pt idx="209">
                  <c:v>5</c:v>
                </c:pt>
                <c:pt idx="210">
                  <c:v>5</c:v>
                </c:pt>
                <c:pt idx="211">
                  <c:v>2</c:v>
                </c:pt>
                <c:pt idx="212">
                  <c:v>1</c:v>
                </c:pt>
                <c:pt idx="213">
                  <c:v>50</c:v>
                </c:pt>
                <c:pt idx="214">
                  <c:v>20</c:v>
                </c:pt>
                <c:pt idx="215">
                  <c:v>1</c:v>
                </c:pt>
                <c:pt idx="216">
                  <c:v>1</c:v>
                </c:pt>
                <c:pt idx="217">
                  <c:v>10</c:v>
                </c:pt>
                <c:pt idx="218">
                  <c:v>1</c:v>
                </c:pt>
                <c:pt idx="219">
                  <c:v>1</c:v>
                </c:pt>
                <c:pt idx="220">
                  <c:v>2</c:v>
                </c:pt>
                <c:pt idx="221">
                  <c:v>1</c:v>
                </c:pt>
                <c:pt idx="222">
                  <c:v>1</c:v>
                </c:pt>
                <c:pt idx="223">
                  <c:v>1</c:v>
                </c:pt>
                <c:pt idx="224">
                  <c:v>1</c:v>
                </c:pt>
                <c:pt idx="225">
                  <c:v>2</c:v>
                </c:pt>
                <c:pt idx="226">
                  <c:v>2</c:v>
                </c:pt>
                <c:pt idx="227">
                  <c:v>1</c:v>
                </c:pt>
                <c:pt idx="228">
                  <c:v>2</c:v>
                </c:pt>
                <c:pt idx="229">
                  <c:v>2</c:v>
                </c:pt>
                <c:pt idx="230">
                  <c:v>1</c:v>
                </c:pt>
                <c:pt idx="231">
                  <c:v>1</c:v>
                </c:pt>
                <c:pt idx="232">
                  <c:v>1</c:v>
                </c:pt>
                <c:pt idx="233">
                  <c:v>2</c:v>
                </c:pt>
                <c:pt idx="234">
                  <c:v>2</c:v>
                </c:pt>
                <c:pt idx="235">
                  <c:v>5</c:v>
                </c:pt>
                <c:pt idx="236">
                  <c:v>2</c:v>
                </c:pt>
                <c:pt idx="237">
                  <c:v>2</c:v>
                </c:pt>
                <c:pt idx="238">
                  <c:v>2</c:v>
                </c:pt>
                <c:pt idx="239">
                  <c:v>1</c:v>
                </c:pt>
                <c:pt idx="240">
                  <c:v>10</c:v>
                </c:pt>
                <c:pt idx="241">
                  <c:v>1</c:v>
                </c:pt>
                <c:pt idx="242">
                  <c:v>5</c:v>
                </c:pt>
                <c:pt idx="243">
                  <c:v>1</c:v>
                </c:pt>
                <c:pt idx="244">
                  <c:v>5</c:v>
                </c:pt>
                <c:pt idx="245">
                  <c:v>5</c:v>
                </c:pt>
                <c:pt idx="246">
                  <c:v>20</c:v>
                </c:pt>
                <c:pt idx="247">
                  <c:v>20</c:v>
                </c:pt>
                <c:pt idx="248">
                  <c:v>1</c:v>
                </c:pt>
                <c:pt idx="249">
                  <c:v>1</c:v>
                </c:pt>
              </c:numCache>
            </c:numRef>
          </c:xVal>
          <c:yVal>
            <c:numRef>
              <c:f>Zusammenfassung!$I$100:$I$349</c:f>
              <c:numCache>
                <c:formatCode>#,##0.00\ [$€-1]</c:formatCode>
                <c:ptCount val="250"/>
                <c:pt idx="0">
                  <c:v>45.33</c:v>
                </c:pt>
                <c:pt idx="1">
                  <c:v>243.59</c:v>
                </c:pt>
                <c:pt idx="2">
                  <c:v>1330.75</c:v>
                </c:pt>
                <c:pt idx="3">
                  <c:v>492.03</c:v>
                </c:pt>
                <c:pt idx="4">
                  <c:v>233.69</c:v>
                </c:pt>
                <c:pt idx="5">
                  <c:v>116.31</c:v>
                </c:pt>
                <c:pt idx="6">
                  <c:v>146.66999999999999</c:v>
                </c:pt>
                <c:pt idx="7">
                  <c:v>249.04</c:v>
                </c:pt>
                <c:pt idx="8">
                  <c:v>213.81</c:v>
                </c:pt>
                <c:pt idx="9">
                  <c:v>428.51</c:v>
                </c:pt>
                <c:pt idx="10">
                  <c:v>410.61</c:v>
                </c:pt>
                <c:pt idx="11">
                  <c:v>103.1</c:v>
                </c:pt>
                <c:pt idx="12">
                  <c:v>46.97</c:v>
                </c:pt>
                <c:pt idx="13">
                  <c:v>114.94</c:v>
                </c:pt>
                <c:pt idx="14">
                  <c:v>42.9</c:v>
                </c:pt>
                <c:pt idx="15">
                  <c:v>273.36</c:v>
                </c:pt>
                <c:pt idx="16">
                  <c:v>1339.78</c:v>
                </c:pt>
                <c:pt idx="17">
                  <c:v>1227.17</c:v>
                </c:pt>
                <c:pt idx="18">
                  <c:v>72.37</c:v>
                </c:pt>
                <c:pt idx="19">
                  <c:v>162.02000000000001</c:v>
                </c:pt>
                <c:pt idx="20">
                  <c:v>74.98</c:v>
                </c:pt>
                <c:pt idx="21">
                  <c:v>100.36</c:v>
                </c:pt>
                <c:pt idx="22">
                  <c:v>64.75</c:v>
                </c:pt>
                <c:pt idx="23">
                  <c:v>250.06</c:v>
                </c:pt>
                <c:pt idx="24">
                  <c:v>75.66</c:v>
                </c:pt>
                <c:pt idx="25">
                  <c:v>150.54</c:v>
                </c:pt>
                <c:pt idx="26">
                  <c:v>79.13</c:v>
                </c:pt>
                <c:pt idx="27">
                  <c:v>131.72</c:v>
                </c:pt>
                <c:pt idx="28">
                  <c:v>72.260000000000005</c:v>
                </c:pt>
                <c:pt idx="29">
                  <c:v>147.96</c:v>
                </c:pt>
                <c:pt idx="30">
                  <c:v>71.739999999999995</c:v>
                </c:pt>
                <c:pt idx="31">
                  <c:v>45.23</c:v>
                </c:pt>
                <c:pt idx="32">
                  <c:v>181.14</c:v>
                </c:pt>
                <c:pt idx="33">
                  <c:v>65.03</c:v>
                </c:pt>
                <c:pt idx="34">
                  <c:v>112.19</c:v>
                </c:pt>
                <c:pt idx="35">
                  <c:v>1266.8599999999999</c:v>
                </c:pt>
                <c:pt idx="36">
                  <c:v>389.23</c:v>
                </c:pt>
                <c:pt idx="37">
                  <c:v>184.49</c:v>
                </c:pt>
                <c:pt idx="38">
                  <c:v>47.54</c:v>
                </c:pt>
                <c:pt idx="39">
                  <c:v>76.75</c:v>
                </c:pt>
                <c:pt idx="40">
                  <c:v>451.68</c:v>
                </c:pt>
                <c:pt idx="41">
                  <c:v>60.51</c:v>
                </c:pt>
                <c:pt idx="42">
                  <c:v>105.63</c:v>
                </c:pt>
                <c:pt idx="43">
                  <c:v>1118.07</c:v>
                </c:pt>
                <c:pt idx="44">
                  <c:v>40.5</c:v>
                </c:pt>
                <c:pt idx="45">
                  <c:v>1266.5</c:v>
                </c:pt>
                <c:pt idx="46">
                  <c:v>110.31</c:v>
                </c:pt>
                <c:pt idx="47">
                  <c:v>153.06</c:v>
                </c:pt>
                <c:pt idx="48">
                  <c:v>67.42</c:v>
                </c:pt>
                <c:pt idx="49">
                  <c:v>52.69</c:v>
                </c:pt>
                <c:pt idx="50">
                  <c:v>1035.3399999999999</c:v>
                </c:pt>
                <c:pt idx="51">
                  <c:v>490.82</c:v>
                </c:pt>
                <c:pt idx="52">
                  <c:v>48.49</c:v>
                </c:pt>
                <c:pt idx="53">
                  <c:v>1182.78</c:v>
                </c:pt>
                <c:pt idx="54">
                  <c:v>42.45</c:v>
                </c:pt>
                <c:pt idx="55">
                  <c:v>77.48</c:v>
                </c:pt>
                <c:pt idx="56">
                  <c:v>421.73</c:v>
                </c:pt>
                <c:pt idx="57">
                  <c:v>422.7</c:v>
                </c:pt>
                <c:pt idx="58">
                  <c:v>104.29</c:v>
                </c:pt>
                <c:pt idx="59">
                  <c:v>60.18</c:v>
                </c:pt>
                <c:pt idx="60">
                  <c:v>213.15</c:v>
                </c:pt>
                <c:pt idx="61">
                  <c:v>53.37</c:v>
                </c:pt>
                <c:pt idx="62">
                  <c:v>93.27</c:v>
                </c:pt>
                <c:pt idx="63">
                  <c:v>61.21</c:v>
                </c:pt>
                <c:pt idx="64">
                  <c:v>67.86</c:v>
                </c:pt>
                <c:pt idx="65">
                  <c:v>171.17</c:v>
                </c:pt>
                <c:pt idx="66">
                  <c:v>49.8</c:v>
                </c:pt>
                <c:pt idx="67">
                  <c:v>53.74</c:v>
                </c:pt>
                <c:pt idx="68">
                  <c:v>415.38</c:v>
                </c:pt>
                <c:pt idx="69">
                  <c:v>265.14999999999998</c:v>
                </c:pt>
                <c:pt idx="70">
                  <c:v>386.52</c:v>
                </c:pt>
                <c:pt idx="71">
                  <c:v>196.02</c:v>
                </c:pt>
                <c:pt idx="72">
                  <c:v>240.29</c:v>
                </c:pt>
                <c:pt idx="73">
                  <c:v>70.58</c:v>
                </c:pt>
                <c:pt idx="74">
                  <c:v>230.19</c:v>
                </c:pt>
                <c:pt idx="75">
                  <c:v>288.79000000000002</c:v>
                </c:pt>
                <c:pt idx="76">
                  <c:v>152.97999999999999</c:v>
                </c:pt>
                <c:pt idx="77">
                  <c:v>99.78</c:v>
                </c:pt>
                <c:pt idx="78">
                  <c:v>66.709999999999994</c:v>
                </c:pt>
                <c:pt idx="79">
                  <c:v>967.42</c:v>
                </c:pt>
                <c:pt idx="80">
                  <c:v>377.71</c:v>
                </c:pt>
                <c:pt idx="81">
                  <c:v>73.95</c:v>
                </c:pt>
                <c:pt idx="82">
                  <c:v>474.26</c:v>
                </c:pt>
                <c:pt idx="83">
                  <c:v>48.7</c:v>
                </c:pt>
                <c:pt idx="84">
                  <c:v>58.38</c:v>
                </c:pt>
                <c:pt idx="85">
                  <c:v>203.26</c:v>
                </c:pt>
                <c:pt idx="86">
                  <c:v>400.66</c:v>
                </c:pt>
                <c:pt idx="87">
                  <c:v>44.27</c:v>
                </c:pt>
                <c:pt idx="88">
                  <c:v>973.3</c:v>
                </c:pt>
                <c:pt idx="89">
                  <c:v>47.6</c:v>
                </c:pt>
                <c:pt idx="90">
                  <c:v>53.39</c:v>
                </c:pt>
                <c:pt idx="91">
                  <c:v>202.22</c:v>
                </c:pt>
                <c:pt idx="92">
                  <c:v>487.09</c:v>
                </c:pt>
                <c:pt idx="93">
                  <c:v>433.61</c:v>
                </c:pt>
                <c:pt idx="94">
                  <c:v>46.11</c:v>
                </c:pt>
                <c:pt idx="95">
                  <c:v>404.44</c:v>
                </c:pt>
                <c:pt idx="96">
                  <c:v>486.21</c:v>
                </c:pt>
                <c:pt idx="97">
                  <c:v>57.15</c:v>
                </c:pt>
                <c:pt idx="98">
                  <c:v>287.77</c:v>
                </c:pt>
                <c:pt idx="99">
                  <c:v>205.16</c:v>
                </c:pt>
                <c:pt idx="100">
                  <c:v>193.4</c:v>
                </c:pt>
                <c:pt idx="101">
                  <c:v>68.06</c:v>
                </c:pt>
                <c:pt idx="102">
                  <c:v>45.13</c:v>
                </c:pt>
                <c:pt idx="103">
                  <c:v>59.68</c:v>
                </c:pt>
                <c:pt idx="104">
                  <c:v>226.12</c:v>
                </c:pt>
                <c:pt idx="105">
                  <c:v>1180.76</c:v>
                </c:pt>
                <c:pt idx="106">
                  <c:v>932.32</c:v>
                </c:pt>
                <c:pt idx="107">
                  <c:v>224.49</c:v>
                </c:pt>
                <c:pt idx="108">
                  <c:v>214.71</c:v>
                </c:pt>
                <c:pt idx="109">
                  <c:v>73.28</c:v>
                </c:pt>
                <c:pt idx="110">
                  <c:v>477.27</c:v>
                </c:pt>
                <c:pt idx="111">
                  <c:v>45.99</c:v>
                </c:pt>
                <c:pt idx="112">
                  <c:v>180.13</c:v>
                </c:pt>
                <c:pt idx="113">
                  <c:v>43.17</c:v>
                </c:pt>
                <c:pt idx="114">
                  <c:v>118.97</c:v>
                </c:pt>
                <c:pt idx="115">
                  <c:v>74.459999999999994</c:v>
                </c:pt>
                <c:pt idx="116">
                  <c:v>189.77</c:v>
                </c:pt>
                <c:pt idx="117">
                  <c:v>475.9</c:v>
                </c:pt>
                <c:pt idx="118">
                  <c:v>157.24</c:v>
                </c:pt>
                <c:pt idx="119">
                  <c:v>958.86</c:v>
                </c:pt>
                <c:pt idx="120">
                  <c:v>1388.69</c:v>
                </c:pt>
                <c:pt idx="121">
                  <c:v>107.07</c:v>
                </c:pt>
                <c:pt idx="122">
                  <c:v>92.92</c:v>
                </c:pt>
                <c:pt idx="123">
                  <c:v>425.85</c:v>
                </c:pt>
                <c:pt idx="124">
                  <c:v>260.51</c:v>
                </c:pt>
                <c:pt idx="125">
                  <c:v>170.37</c:v>
                </c:pt>
                <c:pt idx="126">
                  <c:v>63.83</c:v>
                </c:pt>
                <c:pt idx="127">
                  <c:v>1360.14</c:v>
                </c:pt>
                <c:pt idx="128">
                  <c:v>57.44</c:v>
                </c:pt>
                <c:pt idx="129">
                  <c:v>368.26</c:v>
                </c:pt>
                <c:pt idx="130">
                  <c:v>45.35</c:v>
                </c:pt>
                <c:pt idx="131">
                  <c:v>70.680000000000007</c:v>
                </c:pt>
                <c:pt idx="132">
                  <c:v>132.72999999999999</c:v>
                </c:pt>
                <c:pt idx="133">
                  <c:v>285.02</c:v>
                </c:pt>
                <c:pt idx="134">
                  <c:v>493.26</c:v>
                </c:pt>
                <c:pt idx="135">
                  <c:v>110.27</c:v>
                </c:pt>
                <c:pt idx="136">
                  <c:v>222.01</c:v>
                </c:pt>
                <c:pt idx="137">
                  <c:v>53.28</c:v>
                </c:pt>
                <c:pt idx="138">
                  <c:v>403.84</c:v>
                </c:pt>
                <c:pt idx="139">
                  <c:v>122.21</c:v>
                </c:pt>
                <c:pt idx="140">
                  <c:v>1234.1300000000001</c:v>
                </c:pt>
                <c:pt idx="141">
                  <c:v>479.31</c:v>
                </c:pt>
                <c:pt idx="142">
                  <c:v>72.12</c:v>
                </c:pt>
                <c:pt idx="143">
                  <c:v>76.11</c:v>
                </c:pt>
                <c:pt idx="144">
                  <c:v>498.06</c:v>
                </c:pt>
                <c:pt idx="145">
                  <c:v>49.89</c:v>
                </c:pt>
                <c:pt idx="146">
                  <c:v>162.59</c:v>
                </c:pt>
                <c:pt idx="147">
                  <c:v>407.67</c:v>
                </c:pt>
                <c:pt idx="148">
                  <c:v>58.15</c:v>
                </c:pt>
                <c:pt idx="149">
                  <c:v>192.21</c:v>
                </c:pt>
                <c:pt idx="150">
                  <c:v>72.31</c:v>
                </c:pt>
                <c:pt idx="151">
                  <c:v>73.94</c:v>
                </c:pt>
                <c:pt idx="152">
                  <c:v>161.18</c:v>
                </c:pt>
                <c:pt idx="153">
                  <c:v>987.06</c:v>
                </c:pt>
                <c:pt idx="154">
                  <c:v>219.47</c:v>
                </c:pt>
                <c:pt idx="155">
                  <c:v>445.67</c:v>
                </c:pt>
                <c:pt idx="156">
                  <c:v>185.31</c:v>
                </c:pt>
                <c:pt idx="157">
                  <c:v>67.430000000000007</c:v>
                </c:pt>
                <c:pt idx="158">
                  <c:v>985.63</c:v>
                </c:pt>
                <c:pt idx="159">
                  <c:v>186.32</c:v>
                </c:pt>
                <c:pt idx="160">
                  <c:v>418.06</c:v>
                </c:pt>
                <c:pt idx="161">
                  <c:v>262.29000000000002</c:v>
                </c:pt>
                <c:pt idx="162">
                  <c:v>135.5</c:v>
                </c:pt>
                <c:pt idx="163">
                  <c:v>98.54</c:v>
                </c:pt>
                <c:pt idx="164">
                  <c:v>95.13</c:v>
                </c:pt>
                <c:pt idx="165">
                  <c:v>75.13</c:v>
                </c:pt>
                <c:pt idx="166">
                  <c:v>404.19</c:v>
                </c:pt>
                <c:pt idx="167">
                  <c:v>201.51</c:v>
                </c:pt>
                <c:pt idx="168">
                  <c:v>426.07</c:v>
                </c:pt>
                <c:pt idx="169">
                  <c:v>447.2</c:v>
                </c:pt>
                <c:pt idx="170">
                  <c:v>41.17</c:v>
                </c:pt>
                <c:pt idx="171">
                  <c:v>82.73</c:v>
                </c:pt>
                <c:pt idx="172">
                  <c:v>226.97</c:v>
                </c:pt>
                <c:pt idx="173">
                  <c:v>153.63999999999999</c:v>
                </c:pt>
                <c:pt idx="174">
                  <c:v>60.23</c:v>
                </c:pt>
                <c:pt idx="175">
                  <c:v>120.48</c:v>
                </c:pt>
                <c:pt idx="176">
                  <c:v>67.099999999999994</c:v>
                </c:pt>
                <c:pt idx="177">
                  <c:v>1004.37</c:v>
                </c:pt>
                <c:pt idx="178">
                  <c:v>1309.46</c:v>
                </c:pt>
                <c:pt idx="179">
                  <c:v>95.39</c:v>
                </c:pt>
                <c:pt idx="180">
                  <c:v>235.36</c:v>
                </c:pt>
                <c:pt idx="181">
                  <c:v>71.39</c:v>
                </c:pt>
                <c:pt idx="182">
                  <c:v>58.93</c:v>
                </c:pt>
                <c:pt idx="183">
                  <c:v>259.85000000000002</c:v>
                </c:pt>
                <c:pt idx="184">
                  <c:v>75.290000000000006</c:v>
                </c:pt>
                <c:pt idx="185">
                  <c:v>59.63</c:v>
                </c:pt>
                <c:pt idx="186">
                  <c:v>251.17</c:v>
                </c:pt>
                <c:pt idx="187">
                  <c:v>187.23</c:v>
                </c:pt>
                <c:pt idx="188">
                  <c:v>66.010000000000005</c:v>
                </c:pt>
                <c:pt idx="189">
                  <c:v>154.79</c:v>
                </c:pt>
                <c:pt idx="190">
                  <c:v>78.92</c:v>
                </c:pt>
                <c:pt idx="191">
                  <c:v>218.98</c:v>
                </c:pt>
                <c:pt idx="192">
                  <c:v>81.95</c:v>
                </c:pt>
                <c:pt idx="193">
                  <c:v>193.5</c:v>
                </c:pt>
                <c:pt idx="194">
                  <c:v>288.10000000000002</c:v>
                </c:pt>
                <c:pt idx="195">
                  <c:v>62.77</c:v>
                </c:pt>
                <c:pt idx="196">
                  <c:v>59.94</c:v>
                </c:pt>
                <c:pt idx="197">
                  <c:v>420.94</c:v>
                </c:pt>
                <c:pt idx="198">
                  <c:v>49.17</c:v>
                </c:pt>
                <c:pt idx="199">
                  <c:v>402.09</c:v>
                </c:pt>
                <c:pt idx="200">
                  <c:v>224.95</c:v>
                </c:pt>
                <c:pt idx="201">
                  <c:v>369.19</c:v>
                </c:pt>
                <c:pt idx="202">
                  <c:v>415.25</c:v>
                </c:pt>
                <c:pt idx="203">
                  <c:v>102.63</c:v>
                </c:pt>
                <c:pt idx="204">
                  <c:v>410.14</c:v>
                </c:pt>
                <c:pt idx="205">
                  <c:v>74.69</c:v>
                </c:pt>
                <c:pt idx="206">
                  <c:v>228.23</c:v>
                </c:pt>
                <c:pt idx="207">
                  <c:v>104.56</c:v>
                </c:pt>
                <c:pt idx="208">
                  <c:v>276.18</c:v>
                </c:pt>
                <c:pt idx="209">
                  <c:v>431.34</c:v>
                </c:pt>
                <c:pt idx="210">
                  <c:v>69.69</c:v>
                </c:pt>
                <c:pt idx="211">
                  <c:v>283.25</c:v>
                </c:pt>
                <c:pt idx="212">
                  <c:v>440.61</c:v>
                </c:pt>
                <c:pt idx="213">
                  <c:v>62.85</c:v>
                </c:pt>
                <c:pt idx="214">
                  <c:v>63.25</c:v>
                </c:pt>
                <c:pt idx="215">
                  <c:v>256.91000000000003</c:v>
                </c:pt>
                <c:pt idx="216">
                  <c:v>293.39</c:v>
                </c:pt>
                <c:pt idx="217">
                  <c:v>49.92</c:v>
                </c:pt>
                <c:pt idx="218">
                  <c:v>63.23</c:v>
                </c:pt>
                <c:pt idx="219">
                  <c:v>92.43</c:v>
                </c:pt>
                <c:pt idx="220">
                  <c:v>188.38</c:v>
                </c:pt>
                <c:pt idx="221">
                  <c:v>277.92</c:v>
                </c:pt>
                <c:pt idx="222">
                  <c:v>382.36</c:v>
                </c:pt>
                <c:pt idx="223">
                  <c:v>195.73</c:v>
                </c:pt>
                <c:pt idx="224">
                  <c:v>78.239999999999995</c:v>
                </c:pt>
                <c:pt idx="225">
                  <c:v>408.62</c:v>
                </c:pt>
                <c:pt idx="226">
                  <c:v>63.35</c:v>
                </c:pt>
                <c:pt idx="227">
                  <c:v>60.9</c:v>
                </c:pt>
                <c:pt idx="228">
                  <c:v>409.02</c:v>
                </c:pt>
                <c:pt idx="229">
                  <c:v>248.58</c:v>
                </c:pt>
                <c:pt idx="230">
                  <c:v>992.76</c:v>
                </c:pt>
                <c:pt idx="231">
                  <c:v>54.56</c:v>
                </c:pt>
                <c:pt idx="232">
                  <c:v>229.82</c:v>
                </c:pt>
                <c:pt idx="233">
                  <c:v>233.74</c:v>
                </c:pt>
                <c:pt idx="234">
                  <c:v>42.63</c:v>
                </c:pt>
                <c:pt idx="235">
                  <c:v>289.32</c:v>
                </c:pt>
                <c:pt idx="236">
                  <c:v>79.56</c:v>
                </c:pt>
                <c:pt idx="237">
                  <c:v>44.69</c:v>
                </c:pt>
                <c:pt idx="238">
                  <c:v>42.09</c:v>
                </c:pt>
                <c:pt idx="239">
                  <c:v>244.89</c:v>
                </c:pt>
                <c:pt idx="240">
                  <c:v>250.52</c:v>
                </c:pt>
                <c:pt idx="241">
                  <c:v>46.99</c:v>
                </c:pt>
                <c:pt idx="242">
                  <c:v>249.29</c:v>
                </c:pt>
                <c:pt idx="243">
                  <c:v>295.33999999999997</c:v>
                </c:pt>
                <c:pt idx="244">
                  <c:v>177.21</c:v>
                </c:pt>
                <c:pt idx="245">
                  <c:v>481.6</c:v>
                </c:pt>
                <c:pt idx="246">
                  <c:v>81.900000000000006</c:v>
                </c:pt>
                <c:pt idx="247">
                  <c:v>1203.23</c:v>
                </c:pt>
                <c:pt idx="248">
                  <c:v>1198.5899999999999</c:v>
                </c:pt>
                <c:pt idx="249">
                  <c:v>70.61</c:v>
                </c:pt>
              </c:numCache>
            </c:numRef>
          </c:yVal>
          <c:smooth val="1"/>
          <c:extLst>
            <c:ext xmlns:c16="http://schemas.microsoft.com/office/drawing/2014/chart" uri="{C3380CC4-5D6E-409C-BE32-E72D297353CC}">
              <c16:uniqueId val="{00000000-A683-4FE0-BF07-A9B091BC3731}"/>
            </c:ext>
          </c:extLst>
        </c:ser>
        <c:dLbls>
          <c:showLegendKey val="0"/>
          <c:showVal val="0"/>
          <c:showCatName val="0"/>
          <c:showSerName val="0"/>
          <c:showPercent val="0"/>
          <c:showBubbleSize val="0"/>
        </c:dLbls>
        <c:axId val="1733079529"/>
        <c:axId val="1181561058"/>
      </c:scatterChart>
      <c:valAx>
        <c:axId val="17330795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de-DE"/>
              </a:p>
            </c:rich>
          </c:tx>
          <c:overlay val="0"/>
        </c:title>
        <c:numFmt formatCode="General" sourceLinked="1"/>
        <c:majorTickMark val="none"/>
        <c:minorTickMark val="none"/>
        <c:tickLblPos val="nextTo"/>
        <c:spPr>
          <a:ln>
            <a:noFill/>
          </a:ln>
        </c:spPr>
        <c:txPr>
          <a:bodyPr/>
          <a:lstStyle/>
          <a:p>
            <a:pPr lvl="0">
              <a:defRPr b="0">
                <a:solidFill>
                  <a:srgbClr val="666666"/>
                </a:solidFill>
                <a:latin typeface="+mn-lt"/>
              </a:defRPr>
            </a:pPr>
            <a:endParaRPr lang="de-DE"/>
          </a:p>
        </c:txPr>
        <c:crossAx val="1181561058"/>
        <c:crosses val="autoZero"/>
        <c:crossBetween val="midCat"/>
      </c:valAx>
      <c:valAx>
        <c:axId val="1181561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de-DE"/>
              </a:p>
            </c:rich>
          </c:tx>
          <c:overlay val="0"/>
        </c:title>
        <c:numFmt formatCode="#,##0.00\ [$€-1]" sourceLinked="1"/>
        <c:majorTickMark val="none"/>
        <c:minorTickMark val="none"/>
        <c:tickLblPos val="nextTo"/>
        <c:spPr>
          <a:ln>
            <a:noFill/>
          </a:ln>
        </c:spPr>
        <c:txPr>
          <a:bodyPr/>
          <a:lstStyle/>
          <a:p>
            <a:pPr lvl="0">
              <a:defRPr b="0">
                <a:solidFill>
                  <a:srgbClr val="666666"/>
                </a:solidFill>
                <a:latin typeface="+mn-lt"/>
              </a:defRPr>
            </a:pPr>
            <a:endParaRPr lang="de-DE"/>
          </a:p>
        </c:txPr>
        <c:crossAx val="1733079529"/>
        <c:crosses val="autoZero"/>
        <c:crossBetween val="midCat"/>
      </c:valAx>
    </c:plotArea>
    <c:plotVisOnly val="1"/>
    <c:dispBlanksAs val="zero"/>
    <c:showDLblsOverMax val="1"/>
  </c:chart>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1"/>
  <c:style val="2"/>
  <c:chart>
    <c:title>
      <c:tx>
        <c:rich>
          <a:bodyPr/>
          <a:lstStyle/>
          <a:p>
            <a:pPr lvl="0">
              <a:defRPr b="0">
                <a:solidFill>
                  <a:srgbClr val="666666"/>
                </a:solidFill>
                <a:latin typeface="+mn-lt"/>
              </a:defRPr>
            </a:pPr>
            <a:r>
              <a:rPr lang="de-DE" b="0">
                <a:solidFill>
                  <a:srgbClr val="666666"/>
                </a:solidFill>
                <a:latin typeface="+mn-lt"/>
              </a:rPr>
              <a:t>Die meisten Geschäfte liegen im niedrigen Preissegment: Der Median verdeutlicht die typische Deal-Größe trotz hoher Ausreißer.</a:t>
            </a:r>
          </a:p>
        </c:rich>
      </c:tx>
      <c:overlay val="0"/>
    </c:title>
    <c:autoTitleDeleted val="0"/>
    <c:plotArea>
      <c:layout/>
      <c:stockChart>
        <c:ser>
          <c:idx val="0"/>
          <c:order val="0"/>
          <c:tx>
            <c:strRef>
              <c:f>Zusammenfassung!$C$68</c:f>
              <c:strCache>
                <c:ptCount val="1"/>
                <c:pt idx="0">
                  <c:v>Q1</c:v>
                </c:pt>
              </c:strCache>
            </c:strRef>
          </c:tx>
          <c:spPr>
            <a:ln cmpd="sng">
              <a:noFill/>
            </a:ln>
          </c:spPr>
          <c:marker>
            <c:symbol val="none"/>
          </c:marker>
          <c:cat>
            <c:strRef>
              <c:f>Zusammenfassung!$A$69:$A$72</c:f>
              <c:strCache>
                <c:ptCount val="4"/>
                <c:pt idx="0">
                  <c:v>Sarah Chen</c:v>
                </c:pt>
                <c:pt idx="1">
                  <c:v>Maya Rodriguez</c:v>
                </c:pt>
                <c:pt idx="2">
                  <c:v>Lukas Becker</c:v>
                </c:pt>
                <c:pt idx="3">
                  <c:v>Owen Walsh</c:v>
                </c:pt>
              </c:strCache>
            </c:strRef>
          </c:cat>
          <c:val>
            <c:numRef>
              <c:f>Zusammenfassung!$C$69:$C$72</c:f>
              <c:numCache>
                <c:formatCode>#,##0.00\ [$€-1]</c:formatCode>
                <c:ptCount val="4"/>
                <c:pt idx="0">
                  <c:v>194.45750000000001</c:v>
                </c:pt>
                <c:pt idx="1">
                  <c:v>114.94</c:v>
                </c:pt>
                <c:pt idx="2">
                  <c:v>128.38</c:v>
                </c:pt>
                <c:pt idx="3">
                  <c:v>101.66249999999999</c:v>
                </c:pt>
              </c:numCache>
            </c:numRef>
          </c:val>
          <c:smooth val="0"/>
          <c:extLst>
            <c:ext xmlns:c16="http://schemas.microsoft.com/office/drawing/2014/chart" uri="{C3380CC4-5D6E-409C-BE32-E72D297353CC}">
              <c16:uniqueId val="{00000000-C60F-426B-80AD-85F088A361A4}"/>
            </c:ext>
          </c:extLst>
        </c:ser>
        <c:ser>
          <c:idx val="1"/>
          <c:order val="1"/>
          <c:tx>
            <c:strRef>
              <c:f>Zusammenfassung!$E$68</c:f>
              <c:strCache>
                <c:ptCount val="1"/>
                <c:pt idx="0">
                  <c:v>Max</c:v>
                </c:pt>
              </c:strCache>
            </c:strRef>
          </c:tx>
          <c:spPr>
            <a:ln cmpd="sng">
              <a:noFill/>
            </a:ln>
          </c:spPr>
          <c:marker>
            <c:symbol val="none"/>
          </c:marker>
          <c:cat>
            <c:strRef>
              <c:f>Zusammenfassung!$A$69:$A$72</c:f>
              <c:strCache>
                <c:ptCount val="4"/>
                <c:pt idx="0">
                  <c:v>Sarah Chen</c:v>
                </c:pt>
                <c:pt idx="1">
                  <c:v>Maya Rodriguez</c:v>
                </c:pt>
                <c:pt idx="2">
                  <c:v>Lukas Becker</c:v>
                </c:pt>
                <c:pt idx="3">
                  <c:v>Owen Walsh</c:v>
                </c:pt>
              </c:strCache>
            </c:strRef>
          </c:cat>
          <c:val>
            <c:numRef>
              <c:f>Zusammenfassung!$E$69:$E$72</c:f>
              <c:numCache>
                <c:formatCode>#,##0.00\ [$€-1]</c:formatCode>
                <c:ptCount val="4"/>
                <c:pt idx="0">
                  <c:v>24064.6</c:v>
                </c:pt>
                <c:pt idx="1">
                  <c:v>13307.5</c:v>
                </c:pt>
                <c:pt idx="2">
                  <c:v>46616</c:v>
                </c:pt>
                <c:pt idx="3">
                  <c:v>7365.2</c:v>
                </c:pt>
              </c:numCache>
            </c:numRef>
          </c:val>
          <c:smooth val="0"/>
          <c:extLst>
            <c:ext xmlns:c16="http://schemas.microsoft.com/office/drawing/2014/chart" uri="{C3380CC4-5D6E-409C-BE32-E72D297353CC}">
              <c16:uniqueId val="{00000001-C60F-426B-80AD-85F088A361A4}"/>
            </c:ext>
          </c:extLst>
        </c:ser>
        <c:ser>
          <c:idx val="2"/>
          <c:order val="2"/>
          <c:tx>
            <c:strRef>
              <c:f>Zusammenfassung!$B$68</c:f>
              <c:strCache>
                <c:ptCount val="1"/>
                <c:pt idx="0">
                  <c:v>Min</c:v>
                </c:pt>
              </c:strCache>
            </c:strRef>
          </c:tx>
          <c:spPr>
            <a:ln cmpd="sng">
              <a:noFill/>
            </a:ln>
          </c:spPr>
          <c:marker>
            <c:symbol val="none"/>
          </c:marker>
          <c:cat>
            <c:strRef>
              <c:f>Zusammenfassung!$A$69:$A$72</c:f>
              <c:strCache>
                <c:ptCount val="4"/>
                <c:pt idx="0">
                  <c:v>Sarah Chen</c:v>
                </c:pt>
                <c:pt idx="1">
                  <c:v>Maya Rodriguez</c:v>
                </c:pt>
                <c:pt idx="2">
                  <c:v>Lukas Becker</c:v>
                </c:pt>
                <c:pt idx="3">
                  <c:v>Owen Walsh</c:v>
                </c:pt>
              </c:strCache>
            </c:strRef>
          </c:cat>
          <c:val>
            <c:numRef>
              <c:f>Zusammenfassung!$B$69:$B$72</c:f>
              <c:numCache>
                <c:formatCode>#,##0.00\ [$€-1]</c:formatCode>
                <c:ptCount val="4"/>
                <c:pt idx="0">
                  <c:v>46.99</c:v>
                </c:pt>
                <c:pt idx="1">
                  <c:v>45.33</c:v>
                </c:pt>
                <c:pt idx="2">
                  <c:v>46.97</c:v>
                </c:pt>
                <c:pt idx="3">
                  <c:v>41.17</c:v>
                </c:pt>
              </c:numCache>
            </c:numRef>
          </c:val>
          <c:smooth val="0"/>
          <c:extLst>
            <c:ext xmlns:c16="http://schemas.microsoft.com/office/drawing/2014/chart" uri="{C3380CC4-5D6E-409C-BE32-E72D297353CC}">
              <c16:uniqueId val="{00000002-C60F-426B-80AD-85F088A361A4}"/>
            </c:ext>
          </c:extLst>
        </c:ser>
        <c:ser>
          <c:idx val="3"/>
          <c:order val="3"/>
          <c:tx>
            <c:strRef>
              <c:f>Zusammenfassung!$D$68</c:f>
              <c:strCache>
                <c:ptCount val="1"/>
                <c:pt idx="0">
                  <c:v>Q3</c:v>
                </c:pt>
              </c:strCache>
            </c:strRef>
          </c:tx>
          <c:spPr>
            <a:ln cmpd="sng">
              <a:noFill/>
            </a:ln>
          </c:spPr>
          <c:marker>
            <c:symbol val="none"/>
          </c:marker>
          <c:cat>
            <c:strRef>
              <c:f>Zusammenfassung!$A$69:$A$72</c:f>
              <c:strCache>
                <c:ptCount val="4"/>
                <c:pt idx="0">
                  <c:v>Sarah Chen</c:v>
                </c:pt>
                <c:pt idx="1">
                  <c:v>Maya Rodriguez</c:v>
                </c:pt>
                <c:pt idx="2">
                  <c:v>Lukas Becker</c:v>
                </c:pt>
                <c:pt idx="3">
                  <c:v>Owen Walsh</c:v>
                </c:pt>
              </c:strCache>
            </c:strRef>
          </c:cat>
          <c:val>
            <c:numRef>
              <c:f>Zusammenfassung!$D$69:$D$72</c:f>
              <c:numCache>
                <c:formatCode>#,##0.00\ [$€-1]</c:formatCode>
                <c:ptCount val="4"/>
                <c:pt idx="0">
                  <c:v>957.76</c:v>
                </c:pt>
                <c:pt idx="1">
                  <c:v>958.86</c:v>
                </c:pt>
                <c:pt idx="2">
                  <c:v>1082.7950000000001</c:v>
                </c:pt>
                <c:pt idx="3">
                  <c:v>1939.5875000000001</c:v>
                </c:pt>
              </c:numCache>
            </c:numRef>
          </c:val>
          <c:smooth val="0"/>
          <c:extLst>
            <c:ext xmlns:c16="http://schemas.microsoft.com/office/drawing/2014/chart" uri="{C3380CC4-5D6E-409C-BE32-E72D297353CC}">
              <c16:uniqueId val="{00000003-C60F-426B-80AD-85F088A361A4}"/>
            </c:ext>
          </c:extLst>
        </c:ser>
        <c:dLbls>
          <c:showLegendKey val="0"/>
          <c:showVal val="0"/>
          <c:showCatName val="0"/>
          <c:showSerName val="0"/>
          <c:showPercent val="0"/>
          <c:showBubbleSize val="0"/>
        </c:dLbls>
        <c:hiLowLines/>
        <c:upDownBars>
          <c:gapWidth val="150"/>
          <c:upBars>
            <c:spPr>
              <a:solidFill>
                <a:schemeClr val="accent1"/>
              </a:solidFill>
              <a:ln w="19050" cmpd="sng">
                <a:solidFill>
                  <a:schemeClr val="accent1"/>
                </a:solidFill>
              </a:ln>
            </c:spPr>
          </c:upBars>
          <c:downBars>
            <c:spPr>
              <a:solidFill>
                <a:srgbClr val="FFFFFF"/>
              </a:solidFill>
              <a:ln w="19050" cmpd="sng">
                <a:solidFill>
                  <a:schemeClr val="accent1"/>
                </a:solidFill>
              </a:ln>
            </c:spPr>
          </c:downBars>
        </c:upDownBars>
        <c:axId val="1876607638"/>
        <c:axId val="1061800200"/>
      </c:stockChart>
      <c:catAx>
        <c:axId val="1876607638"/>
        <c:scaling>
          <c:orientation val="minMax"/>
        </c:scaling>
        <c:delete val="0"/>
        <c:axPos val="b"/>
        <c:title>
          <c:tx>
            <c:rich>
              <a:bodyPr/>
              <a:lstStyle/>
              <a:p>
                <a:pPr lvl="0">
                  <a:defRPr b="0">
                    <a:solidFill>
                      <a:srgbClr val="000000"/>
                    </a:solidFill>
                    <a:latin typeface="+mn-lt"/>
                  </a:defRPr>
                </a:pPr>
                <a:endParaRPr lang="de-DE"/>
              </a:p>
            </c:rich>
          </c:tx>
          <c:overlay val="0"/>
        </c:title>
        <c:numFmt formatCode="General" sourceLinked="1"/>
        <c:majorTickMark val="out"/>
        <c:minorTickMark val="none"/>
        <c:tickLblPos val="nextTo"/>
        <c:crossAx val="1061800200"/>
        <c:crosses val="autoZero"/>
        <c:auto val="1"/>
        <c:lblAlgn val="ctr"/>
        <c:lblOffset val="100"/>
        <c:noMultiLvlLbl val="1"/>
      </c:catAx>
      <c:valAx>
        <c:axId val="1061800200"/>
        <c:scaling>
          <c:orientation val="minMax"/>
          <c:max val="3000"/>
        </c:scaling>
        <c:delete val="0"/>
        <c:axPos val="l"/>
        <c:majorGridlines>
          <c:spPr>
            <a:ln>
              <a:solidFill>
                <a:srgbClr val="B7B7B7"/>
              </a:solidFill>
            </a:ln>
          </c:spPr>
        </c:majorGridlines>
        <c:title>
          <c:tx>
            <c:rich>
              <a:bodyPr/>
              <a:lstStyle/>
              <a:p>
                <a:pPr lvl="0">
                  <a:defRPr b="0">
                    <a:solidFill>
                      <a:srgbClr val="000000"/>
                    </a:solidFill>
                    <a:latin typeface="+mn-lt"/>
                  </a:defRPr>
                </a:pPr>
                <a:endParaRPr lang="de-DE"/>
              </a:p>
            </c:rich>
          </c:tx>
          <c:overlay val="0"/>
        </c:title>
        <c:numFmt formatCode="#,##0\ [$€-1]" sourceLinked="0"/>
        <c:majorTickMark val="none"/>
        <c:minorTickMark val="none"/>
        <c:tickLblPos val="nextTo"/>
        <c:spPr>
          <a:ln>
            <a:solidFill/>
          </a:ln>
        </c:spPr>
        <c:txPr>
          <a:bodyPr/>
          <a:lstStyle/>
          <a:p>
            <a:pPr lvl="0">
              <a:defRPr b="0">
                <a:solidFill>
                  <a:srgbClr val="666666"/>
                </a:solidFill>
                <a:latin typeface="+mn-lt"/>
              </a:defRPr>
            </a:pPr>
            <a:endParaRPr lang="de-DE"/>
          </a:p>
        </c:txPr>
        <c:crossAx val="1876607638"/>
        <c:crosses val="autoZero"/>
        <c:crossBetween val="between"/>
      </c:valAx>
    </c:plotArea>
    <c:plotVisOnly val="1"/>
    <c:dispBlanksAs val="zero"/>
    <c:showDLblsOverMax val="1"/>
  </c:chart>
  <c:spPr>
    <a:solidFill>
      <a:srgbClr val="FFFFFF"/>
    </a:solidFill>
  </c:sp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de-DE" sz="1400" b="0" i="0" u="none" strike="noStrike" baseline="0">
                <a:solidFill>
                  <a:srgbClr val="000000">
                    <a:lumMod val="65000"/>
                    <a:lumOff val="35000"/>
                  </a:srgbClr>
                </a:solidFill>
                <a:latin typeface="Arial"/>
                <a:cs typeface="Arial"/>
              </a:rPr>
              <a:t>Über 90% aller Abschlüsse liegen unter 3.333€, was auf viele kleinere </a:t>
            </a:r>
          </a:p>
          <a:p>
            <a:pPr algn="ctr" rtl="0">
              <a:defRPr/>
            </a:pPr>
            <a:r>
              <a:rPr lang="de-DE" sz="1400" b="0" i="0" u="none" strike="noStrike" baseline="0">
                <a:solidFill>
                  <a:srgbClr val="000000">
                    <a:lumMod val="65000"/>
                    <a:lumOff val="35000"/>
                  </a:srgbClr>
                </a:solidFill>
                <a:latin typeface="Arial"/>
                <a:cs typeface="Arial"/>
              </a:rPr>
              <a:t>Transaktionen und nur wenige Großaufträge hinweist.</a:t>
            </a:r>
          </a:p>
        </cx:rich>
      </cx:tx>
    </cx:title>
    <cx:plotArea>
      <cx:plotAreaRegion>
        <cx:series layoutId="clusteredColumn" uniqueId="{00000000-E35C-41E7-9A85-6DDD13EEECCE}">
          <cx:tx>
            <cx:txData>
              <cx:f>_xlchart.v1.3</cx:f>
              <cx:v>Revenue</cx:v>
            </cx:txData>
          </cx:tx>
          <cx:spPr>
            <a:solidFill>
              <a:schemeClr val="accent1">
                <a:lumMod val="75000"/>
              </a:schemeClr>
            </a:solidFill>
            <a:ln>
              <a:solidFill>
                <a:schemeClr val="accent1">
                  <a:lumMod val="75000"/>
                </a:schemeClr>
              </a:solidFill>
            </a:ln>
          </cx:spPr>
          <cx:dataLabels/>
          <cx:dataId val="0"/>
          <cx:layoutPr>
            <cx:binning intervalClosed="r">
              <cx:binCount val="10"/>
            </cx:binning>
          </cx:layoutPr>
        </cx:series>
      </cx:plotAreaRegion>
      <cx:axis id="0">
        <cx:catScaling gapWidth="0"/>
        <cx:tickLabels/>
        <cx:numFmt formatCode="#.##0 €"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686675" cy="5972175"/>
    <xdr:graphicFrame macro="">
      <xdr:nvGraphicFramePr>
        <xdr:cNvPr id="2" name="Chart 1" title="Diagramm">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0</xdr:colOff>
      <xdr:row>29</xdr:row>
      <xdr:rowOff>180975</xdr:rowOff>
    </xdr:from>
    <xdr:ext cx="7686675" cy="5972175"/>
    <xdr:graphicFrame macro="">
      <xdr:nvGraphicFramePr>
        <xdr:cNvPr id="3" name="Chart 2" title="Diagramm">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25400</xdr:colOff>
      <xdr:row>87</xdr:row>
      <xdr:rowOff>85725</xdr:rowOff>
    </xdr:from>
    <xdr:ext cx="7686675" cy="5353050"/>
    <xdr:graphicFrame macro="">
      <xdr:nvGraphicFramePr>
        <xdr:cNvPr id="4" name="Chart 4" title="Diagramm">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114</xdr:row>
      <xdr:rowOff>136525</xdr:rowOff>
    </xdr:from>
    <xdr:ext cx="7721600" cy="5895976"/>
    <xdr:graphicFrame macro="">
      <xdr:nvGraphicFramePr>
        <xdr:cNvPr id="5" name="Chart 5" title="Diagramm">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190500</xdr:colOff>
      <xdr:row>138</xdr:row>
      <xdr:rowOff>69850</xdr:rowOff>
    </xdr:from>
    <xdr:ext cx="1314450" cy="19050"/>
    <xdr:grpSp>
      <xdr:nvGrpSpPr>
        <xdr:cNvPr id="6" name="Shape 2" title="Zeichnung">
          <a:extLst>
            <a:ext uri="{FF2B5EF4-FFF2-40B4-BE49-F238E27FC236}">
              <a16:creationId xmlns:a16="http://schemas.microsoft.com/office/drawing/2014/main" id="{00000000-0008-0000-0500-000006000000}"/>
            </a:ext>
          </a:extLst>
        </xdr:cNvPr>
        <xdr:cNvGrpSpPr/>
      </xdr:nvGrpSpPr>
      <xdr:grpSpPr>
        <a:xfrm>
          <a:off x="1073150" y="27235150"/>
          <a:ext cx="1314450" cy="19050"/>
          <a:chOff x="315000" y="305175"/>
          <a:chExt cx="1290900" cy="0"/>
        </a:xfrm>
      </xdr:grpSpPr>
      <xdr:cxnSp macro="">
        <xdr:nvCxnSpPr>
          <xdr:cNvPr id="7" name="Shape 3">
            <a:extLst>
              <a:ext uri="{FF2B5EF4-FFF2-40B4-BE49-F238E27FC236}">
                <a16:creationId xmlns:a16="http://schemas.microsoft.com/office/drawing/2014/main" id="{00000000-0008-0000-0500-000007000000}"/>
              </a:ext>
            </a:extLst>
          </xdr:cNvPr>
          <xdr:cNvCxnSpPr/>
        </xdr:nvCxnSpPr>
        <xdr:spPr>
          <a:xfrm>
            <a:off x="315000" y="305175"/>
            <a:ext cx="129090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3</xdr:col>
      <xdr:colOff>104775</xdr:colOff>
      <xdr:row>139</xdr:row>
      <xdr:rowOff>120650</xdr:rowOff>
    </xdr:from>
    <xdr:ext cx="1219200" cy="19050"/>
    <xdr:grpSp>
      <xdr:nvGrpSpPr>
        <xdr:cNvPr id="8" name="Shape 2" title="Zeichnung">
          <a:extLst>
            <a:ext uri="{FF2B5EF4-FFF2-40B4-BE49-F238E27FC236}">
              <a16:creationId xmlns:a16="http://schemas.microsoft.com/office/drawing/2014/main" id="{00000000-0008-0000-0500-000008000000}"/>
            </a:ext>
          </a:extLst>
        </xdr:cNvPr>
        <xdr:cNvGrpSpPr/>
      </xdr:nvGrpSpPr>
      <xdr:grpSpPr>
        <a:xfrm>
          <a:off x="2752725" y="27482800"/>
          <a:ext cx="1219200" cy="19050"/>
          <a:chOff x="765900" y="1033875"/>
          <a:chExt cx="1200300" cy="0"/>
        </a:xfrm>
      </xdr:grpSpPr>
      <xdr:cxnSp macro="">
        <xdr:nvCxnSpPr>
          <xdr:cNvPr id="9" name="Shape 4">
            <a:extLst>
              <a:ext uri="{FF2B5EF4-FFF2-40B4-BE49-F238E27FC236}">
                <a16:creationId xmlns:a16="http://schemas.microsoft.com/office/drawing/2014/main" id="{00000000-0008-0000-0500-000009000000}"/>
              </a:ext>
            </a:extLst>
          </xdr:cNvPr>
          <xdr:cNvCxnSpPr/>
        </xdr:nvCxnSpPr>
        <xdr:spPr>
          <a:xfrm>
            <a:off x="765900" y="1033875"/>
            <a:ext cx="120030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5</xdr:col>
      <xdr:colOff>44450</xdr:colOff>
      <xdr:row>139</xdr:row>
      <xdr:rowOff>139700</xdr:rowOff>
    </xdr:from>
    <xdr:ext cx="1162050" cy="19050"/>
    <xdr:grpSp>
      <xdr:nvGrpSpPr>
        <xdr:cNvPr id="10" name="Shape 2" title="Zeichnung">
          <a:extLst>
            <a:ext uri="{FF2B5EF4-FFF2-40B4-BE49-F238E27FC236}">
              <a16:creationId xmlns:a16="http://schemas.microsoft.com/office/drawing/2014/main" id="{00000000-0008-0000-0500-00000A000000}"/>
            </a:ext>
          </a:extLst>
        </xdr:cNvPr>
        <xdr:cNvGrpSpPr/>
      </xdr:nvGrpSpPr>
      <xdr:grpSpPr>
        <a:xfrm>
          <a:off x="4457700" y="27501850"/>
          <a:ext cx="1162050" cy="19050"/>
          <a:chOff x="315000" y="625400"/>
          <a:chExt cx="1140900" cy="0"/>
        </a:xfrm>
      </xdr:grpSpPr>
      <xdr:cxnSp macro="">
        <xdr:nvCxnSpPr>
          <xdr:cNvPr id="11" name="Shape 5">
            <a:extLst>
              <a:ext uri="{FF2B5EF4-FFF2-40B4-BE49-F238E27FC236}">
                <a16:creationId xmlns:a16="http://schemas.microsoft.com/office/drawing/2014/main" id="{00000000-0008-0000-0500-00000B000000}"/>
              </a:ext>
            </a:extLst>
          </xdr:cNvPr>
          <xdr:cNvCxnSpPr/>
        </xdr:nvCxnSpPr>
        <xdr:spPr>
          <a:xfrm>
            <a:off x="315000" y="625400"/>
            <a:ext cx="114090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7</xdr:col>
      <xdr:colOff>12700</xdr:colOff>
      <xdr:row>138</xdr:row>
      <xdr:rowOff>165100</xdr:rowOff>
    </xdr:from>
    <xdr:ext cx="1152525" cy="19050"/>
    <xdr:grpSp>
      <xdr:nvGrpSpPr>
        <xdr:cNvPr id="12" name="Shape 2" title="Zeichnung">
          <a:extLst>
            <a:ext uri="{FF2B5EF4-FFF2-40B4-BE49-F238E27FC236}">
              <a16:creationId xmlns:a16="http://schemas.microsoft.com/office/drawing/2014/main" id="{00000000-0008-0000-0500-00000C000000}"/>
            </a:ext>
          </a:extLst>
        </xdr:cNvPr>
        <xdr:cNvGrpSpPr/>
      </xdr:nvGrpSpPr>
      <xdr:grpSpPr>
        <a:xfrm>
          <a:off x="6191250" y="27330400"/>
          <a:ext cx="1152525" cy="19050"/>
          <a:chOff x="325000" y="455275"/>
          <a:chExt cx="1130700" cy="0"/>
        </a:xfrm>
      </xdr:grpSpPr>
      <xdr:cxnSp macro="">
        <xdr:nvCxnSpPr>
          <xdr:cNvPr id="13" name="Shape 6">
            <a:extLst>
              <a:ext uri="{FF2B5EF4-FFF2-40B4-BE49-F238E27FC236}">
                <a16:creationId xmlns:a16="http://schemas.microsoft.com/office/drawing/2014/main" id="{00000000-0008-0000-0500-00000D000000}"/>
              </a:ext>
            </a:extLst>
          </xdr:cNvPr>
          <xdr:cNvCxnSpPr/>
        </xdr:nvCxnSpPr>
        <xdr:spPr>
          <a:xfrm>
            <a:off x="325000" y="455275"/>
            <a:ext cx="1130700"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twoCellAnchor>
    <xdr:from>
      <xdr:col>0</xdr:col>
      <xdr:colOff>0</xdr:colOff>
      <xdr:row>60</xdr:row>
      <xdr:rowOff>69850</xdr:rowOff>
    </xdr:from>
    <xdr:to>
      <xdr:col>8</xdr:col>
      <xdr:colOff>666750</xdr:colOff>
      <xdr:row>87</xdr:row>
      <xdr:rowOff>95250</xdr:rowOff>
    </xdr:to>
    <mc:AlternateContent xmlns:mc="http://schemas.openxmlformats.org/markup-compatibility/2006">
      <mc:Choice xmlns:cx1="http://schemas.microsoft.com/office/drawing/2015/9/8/chartex" Requires="cx1">
        <xdr:graphicFrame macro="">
          <xdr:nvGraphicFramePr>
            <xdr:cNvPr id="14" name="Diagramm 13">
              <a:extLst>
                <a:ext uri="{FF2B5EF4-FFF2-40B4-BE49-F238E27FC236}">
                  <a16:creationId xmlns:a16="http://schemas.microsoft.com/office/drawing/2014/main" id="{A6E0A245-C458-472A-A991-708AF1D147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11880850"/>
              <a:ext cx="7727950" cy="5340350"/>
            </a:xfrm>
            <a:prstGeom prst="rect">
              <a:avLst/>
            </a:prstGeom>
            <a:solidFill>
              <a:prstClr val="white"/>
            </a:solidFill>
            <a:ln w="1">
              <a:solidFill>
                <a:prstClr val="green"/>
              </a:solidFill>
            </a:ln>
          </xdr:spPr>
          <xdr:txBody>
            <a:bodyPr vertOverflow="clip" horzOverflow="clip"/>
            <a:lstStyle/>
            <a:p>
              <a:r>
                <a:rPr lang="de-DE" sz="1100"/>
                <a:t>Dieses Diagramm ist in Ihrer Version von Excel nicht verfügbar.
Wenn Sie diese Form bearbeiten oder diese Arbeitsmappe in einem anderen Dateiformat speichern, wird das Diagramm dauerhaft beschädigt.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esco-Joachim Schnebel" refreshedDate="46286.704085300924" refreshedVersion="8" recordCount="250" xr:uid="{00000000-000A-0000-FFFF-FFFF00000000}">
  <cacheSource type="worksheet">
    <worksheetSource ref="A99:J349" sheet="Zusammenfassung"/>
  </cacheSource>
  <cacheFields count="10">
    <cacheField name="DealID" numFmtId="0">
      <sharedItems/>
    </cacheField>
    <cacheField name="Date" numFmtId="164">
      <sharedItems containsSemiMixedTypes="0" containsNonDate="0" containsDate="1" containsString="0" minDate="2025-01-01T00:00:00" maxDate="2025-03-31T00:00:00"/>
    </cacheField>
    <cacheField name="CustomerName" numFmtId="0">
      <sharedItems/>
    </cacheField>
    <cacheField name="CategoryName" numFmtId="0">
      <sharedItems count="6">
        <s v="Starter Plan"/>
        <s v="Pro Plan"/>
        <s v="Enterprise Plan"/>
        <s v="Business Plan"/>
        <s v="Add-on: Support"/>
        <s v="Add-on: Analytics"/>
      </sharedItems>
    </cacheField>
    <cacheField name="SalesRep" numFmtId="0">
      <sharedItems count="12">
        <s v="Priya Patel"/>
        <s v="David Kim"/>
        <s v="Carlos Mendez"/>
        <s v="Aisha Hassan"/>
        <s v="Elena Rossi"/>
        <s v="Nina Petrov"/>
        <s v="Tom Wilson"/>
        <s v="Marcus Johnson"/>
        <s v="James Park"/>
        <s v="Raj Sharma"/>
        <s v="Sophie Laurent"/>
        <s v="Hannah Lee"/>
      </sharedItems>
    </cacheField>
    <cacheField name="Manager" numFmtId="0">
      <sharedItems/>
    </cacheField>
    <cacheField name="Region" numFmtId="0">
      <sharedItems count="5">
        <s v="LATAM"/>
        <s v="EMEA"/>
        <s v="North America"/>
        <s v="APAC"/>
        <e v="#NAME?" u="1"/>
      </sharedItems>
    </cacheField>
    <cacheField name="Units" numFmtId="0">
      <sharedItems containsSemiMixedTypes="0" containsString="0" containsNumber="1" containsInteger="1" minValue="1" maxValue="50"/>
    </cacheField>
    <cacheField name="UnitPrice" numFmtId="165">
      <sharedItems containsSemiMixedTypes="0" containsString="0" containsNumber="1" minValue="40.5" maxValue="1388.69"/>
    </cacheField>
    <cacheField name="Revenue" numFmtId="166">
      <sharedItems containsSemiMixedTypes="0" containsString="0" containsNumber="1" minValue="41.17" maxValue="4661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D-1001"/>
    <d v="2025-01-12T00:00:00"/>
    <s v="Phoenix Co"/>
    <x v="0"/>
    <x v="0"/>
    <s v="Maya Rodriguez"/>
    <x v="0"/>
    <n v="1"/>
    <n v="45.33"/>
    <n v="45.33"/>
  </r>
  <r>
    <s v="D-1002"/>
    <d v="2025-01-26T00:00:00"/>
    <s v="Nova Inc"/>
    <x v="1"/>
    <x v="1"/>
    <s v="Sarah Chen"/>
    <x v="0"/>
    <n v="1"/>
    <n v="243.59"/>
    <n v="243.59"/>
  </r>
  <r>
    <s v="D-1003"/>
    <d v="2025-01-28T00:00:00"/>
    <s v="Citadel Group"/>
    <x v="2"/>
    <x v="2"/>
    <s v="Maya Rodriguez"/>
    <x v="1"/>
    <n v="10"/>
    <n v="1330.75"/>
    <n v="13307.5"/>
  </r>
  <r>
    <s v="D-1004"/>
    <d v="2025-03-09T00:00:00"/>
    <s v="Prism Group"/>
    <x v="3"/>
    <x v="3"/>
    <s v="Sarah Chen"/>
    <x v="0"/>
    <n v="1"/>
    <n v="492.03"/>
    <n v="492.03"/>
  </r>
  <r>
    <s v="D-1005"/>
    <d v="2025-02-24T00:00:00"/>
    <s v="Echo Labs"/>
    <x v="1"/>
    <x v="4"/>
    <s v="Lukas Becker"/>
    <x v="2"/>
    <n v="1"/>
    <n v="233.69"/>
    <n v="233.69"/>
  </r>
  <r>
    <s v="D-1006"/>
    <d v="2025-01-26T00:00:00"/>
    <s v="Nova Inc"/>
    <x v="4"/>
    <x v="3"/>
    <s v="Sarah Chen"/>
    <x v="3"/>
    <n v="1"/>
    <n v="116.31"/>
    <n v="116.31"/>
  </r>
  <r>
    <s v="D-1007"/>
    <d v="2025-01-21T00:00:00"/>
    <s v="Borealis Co"/>
    <x v="4"/>
    <x v="5"/>
    <s v="Lukas Becker"/>
    <x v="0"/>
    <n v="1"/>
    <n v="146.66999999999999"/>
    <n v="146.66999999999999"/>
  </r>
  <r>
    <s v="D-1008"/>
    <d v="2025-01-05T00:00:00"/>
    <s v="Phoenix Co"/>
    <x v="1"/>
    <x v="6"/>
    <s v="Lukas Becker"/>
    <x v="0"/>
    <n v="20"/>
    <n v="249.04"/>
    <n v="4980.8"/>
  </r>
  <r>
    <s v="D-1009"/>
    <d v="2025-01-12T00:00:00"/>
    <s v="Foundry Group"/>
    <x v="1"/>
    <x v="7"/>
    <s v="Sarah Chen"/>
    <x v="2"/>
    <n v="1"/>
    <n v="213.81"/>
    <n v="213.81"/>
  </r>
  <r>
    <s v="D-1010"/>
    <d v="2025-01-26T00:00:00"/>
    <s v="Driftwood Co"/>
    <x v="3"/>
    <x v="7"/>
    <s v="Sarah Chen"/>
    <x v="3"/>
    <n v="1"/>
    <n v="428.51"/>
    <n v="428.51"/>
  </r>
  <r>
    <s v="D-1011"/>
    <d v="2025-01-17T00:00:00"/>
    <s v="Harbor Inc"/>
    <x v="3"/>
    <x v="8"/>
    <s v="Owen Walsh"/>
    <x v="2"/>
    <n v="1"/>
    <n v="410.61"/>
    <n v="410.61"/>
  </r>
  <r>
    <s v="D-1012"/>
    <d v="2025-01-20T00:00:00"/>
    <s v="Lumen Labs"/>
    <x v="5"/>
    <x v="0"/>
    <s v="Maya Rodriguez"/>
    <x v="0"/>
    <n v="5"/>
    <n v="103.1"/>
    <n v="515.5"/>
  </r>
  <r>
    <s v="D-1013"/>
    <d v="2025-01-23T00:00:00"/>
    <s v="Apex Group"/>
    <x v="0"/>
    <x v="5"/>
    <s v="Lukas Becker"/>
    <x v="0"/>
    <n v="1"/>
    <n v="46.97"/>
    <n v="46.97"/>
  </r>
  <r>
    <s v="D-1014"/>
    <d v="2025-01-30T00:00:00"/>
    <s v="Obsidian Co"/>
    <x v="4"/>
    <x v="2"/>
    <s v="Maya Rodriguez"/>
    <x v="1"/>
    <n v="1"/>
    <n v="114.94"/>
    <n v="114.94"/>
  </r>
  <r>
    <s v="D-1015"/>
    <d v="2025-02-06T00:00:00"/>
    <s v="Citadel Group"/>
    <x v="0"/>
    <x v="9"/>
    <s v="Owen Walsh"/>
    <x v="3"/>
    <n v="1"/>
    <n v="42.9"/>
    <n v="42.9"/>
  </r>
  <r>
    <s v="D-1016"/>
    <d v="2025-02-21T00:00:00"/>
    <s v="Driftwood Co"/>
    <x v="1"/>
    <x v="7"/>
    <s v="Sarah Chen"/>
    <x v="2"/>
    <n v="2"/>
    <n v="273.36"/>
    <n v="546.72"/>
  </r>
  <r>
    <s v="D-1017"/>
    <d v="2025-02-17T00:00:00"/>
    <s v="Nova Inc"/>
    <x v="2"/>
    <x v="0"/>
    <s v="Maya Rodriguez"/>
    <x v="0"/>
    <n v="1"/>
    <n v="1339.78"/>
    <n v="1339.78"/>
  </r>
  <r>
    <s v="D-1018"/>
    <d v="2025-03-25T00:00:00"/>
    <s v="Nimbus Co"/>
    <x v="2"/>
    <x v="6"/>
    <s v="Lukas Becker"/>
    <x v="0"/>
    <n v="1"/>
    <n v="1227.17"/>
    <n v="1227.17"/>
  </r>
  <r>
    <s v="D-1019"/>
    <d v="2025-03-28T00:00:00"/>
    <s v="Onyx Group"/>
    <x v="0"/>
    <x v="6"/>
    <s v="Lukas Becker"/>
    <x v="3"/>
    <n v="1"/>
    <n v="72.37"/>
    <n v="72.37"/>
  </r>
  <r>
    <s v="D-1020"/>
    <d v="2025-02-26T00:00:00"/>
    <s v="Harbor Inc"/>
    <x v="1"/>
    <x v="6"/>
    <s v="Lukas Becker"/>
    <x v="1"/>
    <n v="10"/>
    <n v="162.02000000000001"/>
    <n v="1620.2"/>
  </r>
  <r>
    <s v="D-1021"/>
    <d v="2025-03-03T00:00:00"/>
    <s v="Verdant Inc"/>
    <x v="0"/>
    <x v="2"/>
    <s v="Maya Rodriguez"/>
    <x v="3"/>
    <n v="20"/>
    <n v="74.98"/>
    <n v="1499.6000000000001"/>
  </r>
  <r>
    <s v="D-1022"/>
    <d v="2025-03-26T00:00:00"/>
    <s v="Solstice Group"/>
    <x v="4"/>
    <x v="10"/>
    <s v="Maya Rodriguez"/>
    <x v="1"/>
    <n v="2"/>
    <n v="100.36"/>
    <n v="200.72"/>
  </r>
  <r>
    <s v="D-1023"/>
    <d v="2025-02-26T00:00:00"/>
    <s v="Rivet Co"/>
    <x v="0"/>
    <x v="9"/>
    <s v="Owen Walsh"/>
    <x v="1"/>
    <n v="20"/>
    <n v="64.75"/>
    <n v="1295"/>
  </r>
  <r>
    <s v="D-1024"/>
    <d v="2025-03-30T00:00:00"/>
    <s v="Catalyst Inc"/>
    <x v="1"/>
    <x v="3"/>
    <s v="Sarah Chen"/>
    <x v="0"/>
    <n v="1"/>
    <n v="250.06"/>
    <n v="250.06"/>
  </r>
  <r>
    <s v="D-1025"/>
    <d v="2025-02-23T00:00:00"/>
    <s v="Atlas Group"/>
    <x v="5"/>
    <x v="1"/>
    <s v="Sarah Chen"/>
    <x v="1"/>
    <n v="10"/>
    <n v="75.66"/>
    <n v="756.59999999999991"/>
  </r>
  <r>
    <s v="D-1026"/>
    <d v="2025-03-06T00:00:00"/>
    <s v="Borealis Co"/>
    <x v="1"/>
    <x v="6"/>
    <s v="Lukas Becker"/>
    <x v="1"/>
    <n v="5"/>
    <n v="150.54"/>
    <n v="752.69999999999993"/>
  </r>
  <r>
    <s v="D-1027"/>
    <d v="2025-01-22T00:00:00"/>
    <s v="Kestrel Co"/>
    <x v="0"/>
    <x v="10"/>
    <s v="Maya Rodriguez"/>
    <x v="1"/>
    <n v="20"/>
    <n v="79.13"/>
    <n v="1582.6"/>
  </r>
  <r>
    <s v="D-1028"/>
    <d v="2025-03-01T00:00:00"/>
    <s v="Solstice Group"/>
    <x v="4"/>
    <x v="10"/>
    <s v="Maya Rodriguez"/>
    <x v="0"/>
    <n v="5"/>
    <n v="131.72"/>
    <n v="658.6"/>
  </r>
  <r>
    <s v="D-1029"/>
    <d v="2025-01-10T00:00:00"/>
    <s v="Cascade Group"/>
    <x v="0"/>
    <x v="10"/>
    <s v="Maya Rodriguez"/>
    <x v="3"/>
    <n v="50"/>
    <n v="72.260000000000005"/>
    <n v="3613.0000000000005"/>
  </r>
  <r>
    <s v="D-1030"/>
    <d v="2025-03-22T00:00:00"/>
    <s v="Foundry Group"/>
    <x v="4"/>
    <x v="5"/>
    <s v="Lukas Becker"/>
    <x v="2"/>
    <n v="1"/>
    <n v="147.96"/>
    <n v="147.96"/>
  </r>
  <r>
    <s v="D-1031"/>
    <d v="2025-02-21T00:00:00"/>
    <s v="Northwind Co"/>
    <x v="0"/>
    <x v="4"/>
    <s v="Lukas Becker"/>
    <x v="3"/>
    <n v="50"/>
    <n v="71.739999999999995"/>
    <n v="3586.9999999999995"/>
  </r>
  <r>
    <s v="D-1032"/>
    <d v="2025-02-27T00:00:00"/>
    <s v="Arcadia Inc"/>
    <x v="0"/>
    <x v="11"/>
    <s v="Owen Walsh"/>
    <x v="1"/>
    <n v="1"/>
    <n v="45.23"/>
    <n v="45.23"/>
  </r>
  <r>
    <s v="D-1033"/>
    <d v="2025-03-01T00:00:00"/>
    <s v="Phoenix Co"/>
    <x v="1"/>
    <x v="8"/>
    <s v="Owen Walsh"/>
    <x v="0"/>
    <n v="2"/>
    <n v="181.14"/>
    <n v="362.28"/>
  </r>
  <r>
    <s v="D-1034"/>
    <d v="2025-03-02T00:00:00"/>
    <s v="Juniper Group"/>
    <x v="0"/>
    <x v="5"/>
    <s v="Lukas Becker"/>
    <x v="0"/>
    <n v="2"/>
    <n v="65.03"/>
    <n v="130.06"/>
  </r>
  <r>
    <s v="D-1035"/>
    <d v="2025-01-02T00:00:00"/>
    <s v="Nova Inc"/>
    <x v="4"/>
    <x v="4"/>
    <s v="Lukas Becker"/>
    <x v="1"/>
    <n v="1"/>
    <n v="112.19"/>
    <n v="112.19"/>
  </r>
  <r>
    <s v="D-1036"/>
    <d v="2025-03-14T00:00:00"/>
    <s v="Vertex Inc"/>
    <x v="2"/>
    <x v="7"/>
    <s v="Sarah Chen"/>
    <x v="3"/>
    <n v="1"/>
    <n v="1266.8599999999999"/>
    <n v="1266.8599999999999"/>
  </r>
  <r>
    <s v="D-1037"/>
    <d v="2025-01-18T00:00:00"/>
    <s v="Quill Labs"/>
    <x v="3"/>
    <x v="4"/>
    <s v="Lukas Becker"/>
    <x v="3"/>
    <n v="1"/>
    <n v="389.23"/>
    <n v="389.23"/>
  </r>
  <r>
    <s v="D-1038"/>
    <d v="2025-02-07T00:00:00"/>
    <s v="Quanta Labs"/>
    <x v="1"/>
    <x v="5"/>
    <s v="Lukas Becker"/>
    <x v="2"/>
    <n v="1"/>
    <n v="184.49"/>
    <n v="184.49"/>
  </r>
  <r>
    <s v="D-1039"/>
    <d v="2025-03-04T00:00:00"/>
    <s v="Foundry Group"/>
    <x v="0"/>
    <x v="3"/>
    <s v="Sarah Chen"/>
    <x v="0"/>
    <n v="1"/>
    <n v="47.54"/>
    <n v="47.54"/>
  </r>
  <r>
    <s v="D-1040"/>
    <d v="2025-03-13T00:00:00"/>
    <s v="Citadel Group"/>
    <x v="0"/>
    <x v="3"/>
    <s v="Sarah Chen"/>
    <x v="3"/>
    <n v="1"/>
    <n v="76.75"/>
    <n v="76.75"/>
  </r>
  <r>
    <s v="D-1041"/>
    <d v="2025-01-17T00:00:00"/>
    <s v="Nova Inc"/>
    <x v="3"/>
    <x v="3"/>
    <s v="Sarah Chen"/>
    <x v="3"/>
    <n v="1"/>
    <n v="451.68"/>
    <n v="451.68"/>
  </r>
  <r>
    <s v="D-1042"/>
    <d v="2025-02-18T00:00:00"/>
    <s v="Helix Systems"/>
    <x v="0"/>
    <x v="9"/>
    <s v="Owen Walsh"/>
    <x v="1"/>
    <n v="1"/>
    <n v="60.51"/>
    <n v="60.51"/>
  </r>
  <r>
    <s v="D-1043"/>
    <d v="2025-03-20T00:00:00"/>
    <s v="Nimbus Co"/>
    <x v="5"/>
    <x v="3"/>
    <s v="Sarah Chen"/>
    <x v="3"/>
    <n v="5"/>
    <n v="105.63"/>
    <n v="528.15"/>
  </r>
  <r>
    <s v="D-1044"/>
    <d v="2025-02-09T00:00:00"/>
    <s v="Arcadia Inc"/>
    <x v="2"/>
    <x v="3"/>
    <s v="Sarah Chen"/>
    <x v="3"/>
    <n v="10"/>
    <n v="1118.07"/>
    <n v="11180.699999999999"/>
  </r>
  <r>
    <s v="D-1045"/>
    <d v="2025-02-18T00:00:00"/>
    <s v="Meridian Group"/>
    <x v="0"/>
    <x v="3"/>
    <s v="Sarah Chen"/>
    <x v="2"/>
    <n v="5"/>
    <n v="40.5"/>
    <n v="202.5"/>
  </r>
  <r>
    <s v="D-1046"/>
    <d v="2025-03-19T00:00:00"/>
    <s v="Beacon Labs"/>
    <x v="2"/>
    <x v="8"/>
    <s v="Owen Walsh"/>
    <x v="2"/>
    <n v="2"/>
    <n v="1266.5"/>
    <n v="2533"/>
  </r>
  <r>
    <s v="D-1047"/>
    <d v="2025-02-26T00:00:00"/>
    <s v="Atlas Group"/>
    <x v="0"/>
    <x v="8"/>
    <s v="Owen Walsh"/>
    <x v="2"/>
    <n v="20"/>
    <n v="110.31"/>
    <n v="2206.1999999999998"/>
  </r>
  <r>
    <s v="D-1048"/>
    <d v="2025-01-21T00:00:00"/>
    <s v="Orbit Co"/>
    <x v="1"/>
    <x v="0"/>
    <s v="Maya Rodriguez"/>
    <x v="3"/>
    <n v="2"/>
    <n v="153.06"/>
    <n v="306.12"/>
  </r>
  <r>
    <s v="D-1049"/>
    <d v="2025-02-24T00:00:00"/>
    <s v="Obsidian Co"/>
    <x v="5"/>
    <x v="7"/>
    <s v="Sarah Chen"/>
    <x v="2"/>
    <n v="1"/>
    <n v="67.42"/>
    <n v="67.42"/>
  </r>
  <r>
    <s v="D-1050"/>
    <d v="2025-02-12T00:00:00"/>
    <s v="Atlas Group"/>
    <x v="0"/>
    <x v="11"/>
    <s v="Owen Walsh"/>
    <x v="2"/>
    <n v="5"/>
    <n v="52.69"/>
    <n v="263.45"/>
  </r>
  <r>
    <s v="D-1051"/>
    <d v="2025-01-30T00:00:00"/>
    <s v="Orbit Co"/>
    <x v="2"/>
    <x v="4"/>
    <s v="Lukas Becker"/>
    <x v="3"/>
    <n v="2"/>
    <n v="1035.3399999999999"/>
    <n v="2070.6799999999998"/>
  </r>
  <r>
    <s v="D-1052"/>
    <d v="2025-02-21T00:00:00"/>
    <s v="Cascade Group"/>
    <x v="3"/>
    <x v="10"/>
    <s v="Maya Rodriguez"/>
    <x v="1"/>
    <n v="10"/>
    <n v="490.82"/>
    <n v="4908.2"/>
  </r>
  <r>
    <s v="D-1053"/>
    <d v="2025-03-24T00:00:00"/>
    <s v="Foundry Group"/>
    <x v="0"/>
    <x v="2"/>
    <s v="Maya Rodriguez"/>
    <x v="1"/>
    <n v="50"/>
    <n v="48.49"/>
    <n v="2424.5"/>
  </r>
  <r>
    <s v="D-1054"/>
    <d v="2025-01-04T00:00:00"/>
    <s v="Northwind Co"/>
    <x v="2"/>
    <x v="1"/>
    <s v="Sarah Chen"/>
    <x v="1"/>
    <n v="2"/>
    <n v="1182.78"/>
    <n v="2365.56"/>
  </r>
  <r>
    <s v="D-1055"/>
    <d v="2025-02-02T00:00:00"/>
    <s v="Phoenix Co"/>
    <x v="0"/>
    <x v="9"/>
    <s v="Owen Walsh"/>
    <x v="1"/>
    <n v="5"/>
    <n v="42.45"/>
    <n v="212.25"/>
  </r>
  <r>
    <s v="D-1056"/>
    <d v="2025-02-27T00:00:00"/>
    <s v="Orbit Co"/>
    <x v="0"/>
    <x v="3"/>
    <s v="Sarah Chen"/>
    <x v="0"/>
    <n v="2"/>
    <n v="77.48"/>
    <n v="154.96"/>
  </r>
  <r>
    <s v="D-1057"/>
    <d v="2025-03-20T00:00:00"/>
    <s v="Arcadia Inc"/>
    <x v="3"/>
    <x v="7"/>
    <s v="Sarah Chen"/>
    <x v="1"/>
    <n v="2"/>
    <n v="421.73"/>
    <n v="843.46"/>
  </r>
  <r>
    <s v="D-1058"/>
    <d v="2025-01-13T00:00:00"/>
    <s v="Nimbus Co"/>
    <x v="3"/>
    <x v="7"/>
    <s v="Sarah Chen"/>
    <x v="3"/>
    <n v="5"/>
    <n v="422.7"/>
    <n v="2113.5"/>
  </r>
  <r>
    <s v="D-1059"/>
    <d v="2025-02-01T00:00:00"/>
    <s v="Phoenix Co"/>
    <x v="5"/>
    <x v="2"/>
    <s v="Maya Rodriguez"/>
    <x v="1"/>
    <n v="1"/>
    <n v="104.29"/>
    <n v="104.29"/>
  </r>
  <r>
    <s v="D-1060"/>
    <d v="2025-03-11T00:00:00"/>
    <s v="Meridian Group"/>
    <x v="0"/>
    <x v="3"/>
    <s v="Sarah Chen"/>
    <x v="3"/>
    <n v="5"/>
    <n v="60.18"/>
    <n v="300.89999999999998"/>
  </r>
  <r>
    <s v="D-1061"/>
    <d v="2025-03-09T00:00:00"/>
    <s v="Nimbus Co"/>
    <x v="1"/>
    <x v="7"/>
    <s v="Sarah Chen"/>
    <x v="1"/>
    <n v="5"/>
    <n v="213.15"/>
    <n v="1065.75"/>
  </r>
  <r>
    <s v="D-1062"/>
    <d v="2025-01-25T00:00:00"/>
    <s v="Onyx Group"/>
    <x v="0"/>
    <x v="10"/>
    <s v="Maya Rodriguez"/>
    <x v="2"/>
    <n v="10"/>
    <n v="53.37"/>
    <n v="533.69999999999993"/>
  </r>
  <r>
    <s v="D-1063"/>
    <d v="2025-01-07T00:00:00"/>
    <s v="Granite Co"/>
    <x v="4"/>
    <x v="7"/>
    <s v="Sarah Chen"/>
    <x v="2"/>
    <n v="1"/>
    <n v="93.27"/>
    <n v="93.27"/>
  </r>
  <r>
    <s v="D-1064"/>
    <d v="2025-01-26T00:00:00"/>
    <s v="Solstice Group"/>
    <x v="3"/>
    <x v="4"/>
    <s v="Lukas Becker"/>
    <x v="3"/>
    <n v="1"/>
    <n v="61.21"/>
    <n v="61.21"/>
  </r>
  <r>
    <s v="D-1065"/>
    <d v="2025-03-09T00:00:00"/>
    <s v="Borealis Co"/>
    <x v="0"/>
    <x v="6"/>
    <s v="Lukas Becker"/>
    <x v="3"/>
    <n v="2"/>
    <n v="67.86"/>
    <n v="135.72"/>
  </r>
  <r>
    <s v="D-1066"/>
    <d v="2025-01-11T00:00:00"/>
    <s v="Cascade Group"/>
    <x v="1"/>
    <x v="1"/>
    <s v="Sarah Chen"/>
    <x v="1"/>
    <n v="2"/>
    <n v="171.17"/>
    <n v="342.34"/>
  </r>
  <r>
    <s v="D-1067"/>
    <d v="2025-01-20T00:00:00"/>
    <s v="Onyx Group"/>
    <x v="0"/>
    <x v="9"/>
    <s v="Owen Walsh"/>
    <x v="0"/>
    <n v="20"/>
    <n v="49.8"/>
    <n v="996"/>
  </r>
  <r>
    <s v="D-1068"/>
    <d v="2025-02-02T00:00:00"/>
    <s v="Phoenix Co"/>
    <x v="0"/>
    <x v="11"/>
    <s v="Owen Walsh"/>
    <x v="2"/>
    <n v="1"/>
    <n v="53.74"/>
    <n v="53.74"/>
  </r>
  <r>
    <s v="D-1069"/>
    <d v="2025-03-30T00:00:00"/>
    <s v="Granite Co"/>
    <x v="3"/>
    <x v="11"/>
    <s v="Owen Walsh"/>
    <x v="2"/>
    <n v="1"/>
    <n v="415.38"/>
    <n v="415.38"/>
  </r>
  <r>
    <s v="D-1070"/>
    <d v="2025-03-24T00:00:00"/>
    <s v="Obsidian Co"/>
    <x v="1"/>
    <x v="9"/>
    <s v="Owen Walsh"/>
    <x v="3"/>
    <n v="20"/>
    <n v="265.14999999999998"/>
    <n v="5303"/>
  </r>
  <r>
    <s v="D-1071"/>
    <d v="2025-01-05T00:00:00"/>
    <s v="Apex Group"/>
    <x v="3"/>
    <x v="1"/>
    <s v="Sarah Chen"/>
    <x v="3"/>
    <n v="1"/>
    <n v="386.52"/>
    <n v="386.52"/>
  </r>
  <r>
    <s v="D-1072"/>
    <d v="2025-03-21T00:00:00"/>
    <s v="Northwind Co"/>
    <x v="1"/>
    <x v="3"/>
    <s v="Sarah Chen"/>
    <x v="3"/>
    <n v="1"/>
    <n v="196.02"/>
    <n v="196.02"/>
  </r>
  <r>
    <s v="D-1073"/>
    <d v="2025-02-03T00:00:00"/>
    <s v="Harbor Inc"/>
    <x v="1"/>
    <x v="1"/>
    <s v="Sarah Chen"/>
    <x v="1"/>
    <n v="2"/>
    <n v="240.29"/>
    <n v="480.58"/>
  </r>
  <r>
    <s v="D-1074"/>
    <d v="2025-02-26T00:00:00"/>
    <s v="Cascade Group"/>
    <x v="0"/>
    <x v="7"/>
    <s v="Sarah Chen"/>
    <x v="0"/>
    <n v="1"/>
    <n v="70.58"/>
    <n v="70.58"/>
  </r>
  <r>
    <s v="D-1075"/>
    <d v="2025-01-14T00:00:00"/>
    <s v="Beacon Labs"/>
    <x v="1"/>
    <x v="2"/>
    <s v="Maya Rodriguez"/>
    <x v="3"/>
    <n v="5"/>
    <n v="230.19"/>
    <n v="1150.95"/>
  </r>
  <r>
    <s v="D-1076"/>
    <d v="2025-02-28T00:00:00"/>
    <s v="Fusion Group"/>
    <x v="1"/>
    <x v="8"/>
    <s v="Owen Walsh"/>
    <x v="3"/>
    <n v="1"/>
    <n v="288.79000000000002"/>
    <n v="288.79000000000002"/>
  </r>
  <r>
    <s v="D-1077"/>
    <d v="2025-03-14T00:00:00"/>
    <s v="Rivet Co"/>
    <x v="1"/>
    <x v="6"/>
    <s v="Lukas Becker"/>
    <x v="0"/>
    <n v="1"/>
    <n v="152.97999999999999"/>
    <n v="152.97999999999999"/>
  </r>
  <r>
    <s v="D-1078"/>
    <d v="2025-03-17T00:00:00"/>
    <s v="Catalyst Inc"/>
    <x v="5"/>
    <x v="7"/>
    <s v="Sarah Chen"/>
    <x v="1"/>
    <n v="2"/>
    <n v="99.78"/>
    <n v="199.56"/>
  </r>
  <r>
    <s v="D-1079"/>
    <d v="2025-01-14T00:00:00"/>
    <s v="Onyx Group"/>
    <x v="0"/>
    <x v="5"/>
    <s v="Lukas Becker"/>
    <x v="2"/>
    <n v="1"/>
    <n v="66.709999999999994"/>
    <n v="66.709999999999994"/>
  </r>
  <r>
    <s v="D-1080"/>
    <d v="2025-03-30T00:00:00"/>
    <s v="Verdant Inc"/>
    <x v="2"/>
    <x v="7"/>
    <s v="Sarah Chen"/>
    <x v="0"/>
    <n v="1"/>
    <n v="967.42"/>
    <n v="967.42"/>
  </r>
  <r>
    <s v="D-1081"/>
    <d v="2025-02-23T00:00:00"/>
    <s v="Northwind Co"/>
    <x v="3"/>
    <x v="1"/>
    <s v="Sarah Chen"/>
    <x v="1"/>
    <n v="1"/>
    <n v="377.71"/>
    <n v="377.71"/>
  </r>
  <r>
    <s v="D-1082"/>
    <d v="2025-01-21T00:00:00"/>
    <s v="Meridian Group"/>
    <x v="0"/>
    <x v="0"/>
    <s v="Maya Rodriguez"/>
    <x v="2"/>
    <n v="1"/>
    <n v="73.95"/>
    <n v="73.95"/>
  </r>
  <r>
    <s v="D-1083"/>
    <d v="2025-02-02T00:00:00"/>
    <s v="Orbit Co"/>
    <x v="3"/>
    <x v="11"/>
    <s v="Owen Walsh"/>
    <x v="3"/>
    <n v="5"/>
    <n v="474.26"/>
    <n v="2371.3000000000002"/>
  </r>
  <r>
    <s v="D-1084"/>
    <d v="2025-03-06T00:00:00"/>
    <s v="Verdant Inc"/>
    <x v="0"/>
    <x v="2"/>
    <s v="Maya Rodriguez"/>
    <x v="0"/>
    <n v="2"/>
    <n v="48.7"/>
    <n v="97.4"/>
  </r>
  <r>
    <s v="D-1085"/>
    <d v="2025-01-20T00:00:00"/>
    <s v="Solstice Group"/>
    <x v="0"/>
    <x v="1"/>
    <s v="Sarah Chen"/>
    <x v="0"/>
    <n v="5"/>
    <n v="58.38"/>
    <n v="291.90000000000003"/>
  </r>
  <r>
    <s v="D-1086"/>
    <d v="2025-03-08T00:00:00"/>
    <s v="Lattice Co"/>
    <x v="1"/>
    <x v="3"/>
    <s v="Sarah Chen"/>
    <x v="3"/>
    <n v="1"/>
    <n v="203.26"/>
    <n v="203.26"/>
  </r>
  <r>
    <s v="D-1087"/>
    <d v="2025-02-21T00:00:00"/>
    <s v="Stellar Co"/>
    <x v="3"/>
    <x v="7"/>
    <s v="Sarah Chen"/>
    <x v="1"/>
    <n v="2"/>
    <n v="400.66"/>
    <n v="801.32"/>
  </r>
  <r>
    <s v="D-1088"/>
    <d v="2025-01-01T00:00:00"/>
    <s v="Helix Systems"/>
    <x v="0"/>
    <x v="5"/>
    <s v="Lukas Becker"/>
    <x v="2"/>
    <n v="2"/>
    <n v="44.27"/>
    <n v="88.54"/>
  </r>
  <r>
    <s v="D-1089"/>
    <d v="2025-02-03T00:00:00"/>
    <s v="Kestrel Co"/>
    <x v="2"/>
    <x v="3"/>
    <s v="Sarah Chen"/>
    <x v="2"/>
    <n v="1"/>
    <n v="973.3"/>
    <n v="973.3"/>
  </r>
  <r>
    <s v="D-1090"/>
    <d v="2025-03-20T00:00:00"/>
    <s v="Obsidian Co"/>
    <x v="0"/>
    <x v="4"/>
    <s v="Lukas Becker"/>
    <x v="3"/>
    <n v="5"/>
    <n v="47.6"/>
    <n v="238"/>
  </r>
  <r>
    <s v="D-1091"/>
    <d v="2025-01-06T00:00:00"/>
    <s v="Fusion Group"/>
    <x v="0"/>
    <x v="7"/>
    <s v="Sarah Chen"/>
    <x v="3"/>
    <n v="1"/>
    <n v="53.39"/>
    <n v="53.39"/>
  </r>
  <r>
    <s v="D-1092"/>
    <d v="2025-01-06T00:00:00"/>
    <s v="Summit Group"/>
    <x v="1"/>
    <x v="2"/>
    <s v="Maya Rodriguez"/>
    <x v="3"/>
    <n v="1"/>
    <n v="202.22"/>
    <n v="202.22"/>
  </r>
  <r>
    <s v="D-1093"/>
    <d v="2025-01-27T00:00:00"/>
    <s v="Obsidian Co"/>
    <x v="3"/>
    <x v="4"/>
    <s v="Lukas Becker"/>
    <x v="3"/>
    <n v="20"/>
    <n v="487.09"/>
    <n v="9741.7999999999993"/>
  </r>
  <r>
    <s v="D-1094"/>
    <d v="2025-03-08T00:00:00"/>
    <s v="Atlas Group"/>
    <x v="3"/>
    <x v="11"/>
    <s v="Owen Walsh"/>
    <x v="0"/>
    <n v="5"/>
    <n v="433.61"/>
    <n v="2168.0500000000002"/>
  </r>
  <r>
    <s v="D-1095"/>
    <d v="2025-02-25T00:00:00"/>
    <s v="Rivet Co"/>
    <x v="0"/>
    <x v="9"/>
    <s v="Owen Walsh"/>
    <x v="3"/>
    <n v="2"/>
    <n v="46.11"/>
    <n v="92.22"/>
  </r>
  <r>
    <s v="D-1096"/>
    <d v="2025-03-12T00:00:00"/>
    <s v="Obsidian Co"/>
    <x v="3"/>
    <x v="7"/>
    <s v="Sarah Chen"/>
    <x v="2"/>
    <n v="1"/>
    <n v="404.44"/>
    <n v="404.44"/>
  </r>
  <r>
    <s v="D-1097"/>
    <d v="2025-02-24T00:00:00"/>
    <s v="Verdant Inc"/>
    <x v="3"/>
    <x v="0"/>
    <s v="Maya Rodriguez"/>
    <x v="2"/>
    <n v="1"/>
    <n v="486.21"/>
    <n v="486.21"/>
  </r>
  <r>
    <s v="D-1098"/>
    <d v="2025-03-11T00:00:00"/>
    <s v="Helix Systems"/>
    <x v="0"/>
    <x v="3"/>
    <s v="Sarah Chen"/>
    <x v="1"/>
    <n v="2"/>
    <n v="57.15"/>
    <n v="114.3"/>
  </r>
  <r>
    <s v="D-1099"/>
    <d v="2025-02-15T00:00:00"/>
    <s v="Driftwood Co"/>
    <x v="1"/>
    <x v="10"/>
    <s v="Maya Rodriguez"/>
    <x v="0"/>
    <n v="1"/>
    <n v="287.77"/>
    <n v="287.77"/>
  </r>
  <r>
    <s v="D-1100"/>
    <d v="2025-02-10T00:00:00"/>
    <s v="Northwind Co"/>
    <x v="1"/>
    <x v="7"/>
    <s v="Sarah Chen"/>
    <x v="2"/>
    <n v="20"/>
    <n v="205.16"/>
    <n v="4103.2"/>
  </r>
  <r>
    <s v="D-1101"/>
    <d v="2025-02-05T00:00:00"/>
    <s v="Rivet Co"/>
    <x v="1"/>
    <x v="5"/>
    <s v="Lukas Becker"/>
    <x v="1"/>
    <n v="5"/>
    <n v="193.4"/>
    <n v="967"/>
  </r>
  <r>
    <s v="D-1102"/>
    <d v="2025-01-04T00:00:00"/>
    <s v="Lumen Labs"/>
    <x v="0"/>
    <x v="2"/>
    <s v="Maya Rodriguez"/>
    <x v="1"/>
    <n v="1"/>
    <n v="68.06"/>
    <n v="68.06"/>
  </r>
  <r>
    <s v="D-1103"/>
    <d v="2025-02-08T00:00:00"/>
    <s v="Foundry Group"/>
    <x v="0"/>
    <x v="10"/>
    <s v="Maya Rodriguez"/>
    <x v="3"/>
    <n v="2"/>
    <n v="45.13"/>
    <n v="90.26"/>
  </r>
  <r>
    <s v="D-1104"/>
    <d v="2025-03-03T00:00:00"/>
    <s v="Borealis Co"/>
    <x v="0"/>
    <x v="2"/>
    <s v="Maya Rodriguez"/>
    <x v="0"/>
    <n v="1"/>
    <n v="59.68"/>
    <n v="59.68"/>
  </r>
  <r>
    <s v="D-1105"/>
    <d v="2025-01-05T00:00:00"/>
    <s v="Kestrel Co"/>
    <x v="1"/>
    <x v="4"/>
    <s v="Lukas Becker"/>
    <x v="2"/>
    <n v="1"/>
    <n v="226.12"/>
    <n v="226.12"/>
  </r>
  <r>
    <s v="D-1106"/>
    <d v="2025-01-17T00:00:00"/>
    <s v="Vertex Inc"/>
    <x v="2"/>
    <x v="7"/>
    <s v="Sarah Chen"/>
    <x v="0"/>
    <n v="20"/>
    <n v="1180.76"/>
    <n v="23615.200000000001"/>
  </r>
  <r>
    <s v="D-1107"/>
    <d v="2025-01-28T00:00:00"/>
    <s v="Nova Inc"/>
    <x v="2"/>
    <x v="5"/>
    <s v="Lukas Becker"/>
    <x v="3"/>
    <n v="50"/>
    <n v="932.32"/>
    <n v="46616"/>
  </r>
  <r>
    <s v="D-1108"/>
    <d v="2025-01-01T00:00:00"/>
    <s v="Meridian Group"/>
    <x v="1"/>
    <x v="6"/>
    <s v="Lukas Becker"/>
    <x v="2"/>
    <n v="10"/>
    <n v="224.49"/>
    <n v="2244.9"/>
  </r>
  <r>
    <s v="D-1109"/>
    <d v="2025-01-17T00:00:00"/>
    <s v="Stellar Co"/>
    <x v="1"/>
    <x v="3"/>
    <s v="Sarah Chen"/>
    <x v="2"/>
    <n v="50"/>
    <n v="214.71"/>
    <n v="10735.5"/>
  </r>
  <r>
    <s v="D-1110"/>
    <d v="2025-01-05T00:00:00"/>
    <s v="Rivet Co"/>
    <x v="0"/>
    <x v="8"/>
    <s v="Owen Walsh"/>
    <x v="0"/>
    <n v="1"/>
    <n v="73.28"/>
    <n v="73.28"/>
  </r>
  <r>
    <s v="D-1111"/>
    <d v="2025-03-05T00:00:00"/>
    <s v="Beacon Labs"/>
    <x v="3"/>
    <x v="1"/>
    <s v="Sarah Chen"/>
    <x v="2"/>
    <n v="2"/>
    <n v="477.27"/>
    <n v="954.54"/>
  </r>
  <r>
    <s v="D-1112"/>
    <d v="2025-01-05T00:00:00"/>
    <s v="Borealis Co"/>
    <x v="0"/>
    <x v="11"/>
    <s v="Owen Walsh"/>
    <x v="1"/>
    <n v="5"/>
    <n v="45.99"/>
    <n v="229.95000000000002"/>
  </r>
  <r>
    <s v="D-1113"/>
    <d v="2025-02-23T00:00:00"/>
    <s v="Citadel Group"/>
    <x v="1"/>
    <x v="11"/>
    <s v="Owen Walsh"/>
    <x v="3"/>
    <n v="2"/>
    <n v="180.13"/>
    <n v="360.26"/>
  </r>
  <r>
    <s v="D-1114"/>
    <d v="2025-02-22T00:00:00"/>
    <s v="Solstice Group"/>
    <x v="4"/>
    <x v="4"/>
    <s v="Lukas Becker"/>
    <x v="3"/>
    <n v="2"/>
    <n v="43.17"/>
    <n v="86.34"/>
  </r>
  <r>
    <s v="D-1115"/>
    <d v="2025-01-04T00:00:00"/>
    <s v="Kestrel Co"/>
    <x v="4"/>
    <x v="6"/>
    <s v="Lukas Becker"/>
    <x v="3"/>
    <n v="2"/>
    <n v="118.97"/>
    <n v="237.94"/>
  </r>
  <r>
    <s v="D-1116"/>
    <d v="2025-02-08T00:00:00"/>
    <s v="Cascade Group"/>
    <x v="0"/>
    <x v="4"/>
    <s v="Lukas Becker"/>
    <x v="3"/>
    <n v="1"/>
    <n v="74.459999999999994"/>
    <n v="74.459999999999994"/>
  </r>
  <r>
    <s v="D-1117"/>
    <d v="2025-01-22T00:00:00"/>
    <s v="Echo Labs"/>
    <x v="1"/>
    <x v="1"/>
    <s v="Sarah Chen"/>
    <x v="3"/>
    <n v="1"/>
    <n v="189.77"/>
    <n v="189.77"/>
  </r>
  <r>
    <s v="D-1118"/>
    <d v="2025-03-22T00:00:00"/>
    <s v="Iris Co"/>
    <x v="3"/>
    <x v="7"/>
    <s v="Sarah Chen"/>
    <x v="1"/>
    <n v="1"/>
    <n v="475.9"/>
    <n v="475.9"/>
  </r>
  <r>
    <s v="D-1119"/>
    <d v="2025-02-21T00:00:00"/>
    <s v="Stellar Co"/>
    <x v="1"/>
    <x v="1"/>
    <s v="Sarah Chen"/>
    <x v="1"/>
    <n v="5"/>
    <n v="157.24"/>
    <n v="786.2"/>
  </r>
  <r>
    <s v="D-1120"/>
    <d v="2025-03-30T00:00:00"/>
    <s v="Iris Co"/>
    <x v="2"/>
    <x v="10"/>
    <s v="Maya Rodriguez"/>
    <x v="1"/>
    <n v="1"/>
    <n v="958.86"/>
    <n v="958.86"/>
  </r>
  <r>
    <s v="D-1121"/>
    <d v="2025-01-09T00:00:00"/>
    <s v="Nova Inc"/>
    <x v="2"/>
    <x v="0"/>
    <s v="Maya Rodriguez"/>
    <x v="3"/>
    <n v="1"/>
    <n v="1388.69"/>
    <n v="1388.69"/>
  </r>
  <r>
    <s v="D-1122"/>
    <d v="2025-02-01T00:00:00"/>
    <s v="Beacon Labs"/>
    <x v="4"/>
    <x v="7"/>
    <s v="Sarah Chen"/>
    <x v="1"/>
    <n v="10"/>
    <n v="107.07"/>
    <n v="1070.6999999999998"/>
  </r>
  <r>
    <s v="D-1123"/>
    <d v="2025-01-08T00:00:00"/>
    <s v="Nimbus Co"/>
    <x v="4"/>
    <x v="6"/>
    <s v="Lukas Becker"/>
    <x v="0"/>
    <n v="1"/>
    <n v="92.92"/>
    <n v="92.92"/>
  </r>
  <r>
    <s v="D-1124"/>
    <d v="2025-01-24T00:00:00"/>
    <s v="Solstice Group"/>
    <x v="3"/>
    <x v="7"/>
    <s v="Sarah Chen"/>
    <x v="0"/>
    <n v="2"/>
    <n v="425.85"/>
    <n v="851.7"/>
  </r>
  <r>
    <s v="D-1125"/>
    <d v="2025-01-22T00:00:00"/>
    <s v="Granite Co"/>
    <x v="1"/>
    <x v="4"/>
    <s v="Lukas Becker"/>
    <x v="0"/>
    <n v="1"/>
    <n v="260.51"/>
    <n v="260.51"/>
  </r>
  <r>
    <s v="D-1126"/>
    <d v="2025-03-03T00:00:00"/>
    <s v="Citadel Group"/>
    <x v="1"/>
    <x v="5"/>
    <s v="Lukas Becker"/>
    <x v="1"/>
    <n v="5"/>
    <n v="170.37"/>
    <n v="851.85"/>
  </r>
  <r>
    <s v="D-1127"/>
    <d v="2025-03-10T00:00:00"/>
    <s v="Meridian Group"/>
    <x v="0"/>
    <x v="2"/>
    <s v="Maya Rodriguez"/>
    <x v="0"/>
    <n v="2"/>
    <n v="63.83"/>
    <n v="127.66"/>
  </r>
  <r>
    <s v="D-1128"/>
    <d v="2025-03-28T00:00:00"/>
    <s v="Juniper Group"/>
    <x v="2"/>
    <x v="2"/>
    <s v="Maya Rodriguez"/>
    <x v="0"/>
    <n v="1"/>
    <n v="1360.14"/>
    <n v="1360.14"/>
  </r>
  <r>
    <s v="D-1129"/>
    <d v="2025-02-10T00:00:00"/>
    <s v="Kinetic Labs"/>
    <x v="0"/>
    <x v="2"/>
    <s v="Maya Rodriguez"/>
    <x v="1"/>
    <n v="1"/>
    <n v="57.44"/>
    <n v="57.44"/>
  </r>
  <r>
    <s v="D-1130"/>
    <d v="2025-03-12T00:00:00"/>
    <s v="Lumen Labs"/>
    <x v="3"/>
    <x v="9"/>
    <s v="Owen Walsh"/>
    <x v="2"/>
    <n v="20"/>
    <n v="368.26"/>
    <n v="7365.2"/>
  </r>
  <r>
    <s v="D-1131"/>
    <d v="2025-01-29T00:00:00"/>
    <s v="Quill Labs"/>
    <x v="0"/>
    <x v="2"/>
    <s v="Maya Rodriguez"/>
    <x v="2"/>
    <n v="5"/>
    <n v="45.35"/>
    <n v="226.75"/>
  </r>
  <r>
    <s v="D-1132"/>
    <d v="2025-01-05T00:00:00"/>
    <s v="Quanta Labs"/>
    <x v="0"/>
    <x v="11"/>
    <s v="Owen Walsh"/>
    <x v="3"/>
    <n v="50"/>
    <n v="70.680000000000007"/>
    <n v="3534.0000000000005"/>
  </r>
  <r>
    <s v="D-1133"/>
    <d v="2025-01-24T00:00:00"/>
    <s v="Fusion Group"/>
    <x v="4"/>
    <x v="3"/>
    <s v="Sarah Chen"/>
    <x v="1"/>
    <n v="1"/>
    <n v="132.72999999999999"/>
    <n v="132.72999999999999"/>
  </r>
  <r>
    <s v="D-1134"/>
    <d v="2025-02-01T00:00:00"/>
    <s v="Citadel Group"/>
    <x v="1"/>
    <x v="2"/>
    <s v="Maya Rodriguez"/>
    <x v="3"/>
    <n v="1"/>
    <n v="285.02"/>
    <n v="285.02"/>
  </r>
  <r>
    <s v="D-1135"/>
    <d v="2025-01-28T00:00:00"/>
    <s v="Northwind Co"/>
    <x v="3"/>
    <x v="1"/>
    <s v="Sarah Chen"/>
    <x v="2"/>
    <n v="1"/>
    <n v="493.26"/>
    <n v="493.26"/>
  </r>
  <r>
    <s v="D-1136"/>
    <d v="2025-02-13T00:00:00"/>
    <s v="Verdant Inc"/>
    <x v="5"/>
    <x v="11"/>
    <s v="Owen Walsh"/>
    <x v="0"/>
    <n v="10"/>
    <n v="110.27"/>
    <n v="1102.7"/>
  </r>
  <r>
    <s v="D-1137"/>
    <d v="2025-03-05T00:00:00"/>
    <s v="Kestrel Co"/>
    <x v="1"/>
    <x v="3"/>
    <s v="Sarah Chen"/>
    <x v="0"/>
    <n v="10"/>
    <n v="222.01"/>
    <n v="2220.1"/>
  </r>
  <r>
    <s v="D-1138"/>
    <d v="2025-01-04T00:00:00"/>
    <s v="Nova Inc"/>
    <x v="0"/>
    <x v="7"/>
    <s v="Sarah Chen"/>
    <x v="0"/>
    <n v="5"/>
    <n v="53.28"/>
    <n v="266.39999999999998"/>
  </r>
  <r>
    <s v="D-1139"/>
    <d v="2025-03-17T00:00:00"/>
    <s v="Pacific Co"/>
    <x v="3"/>
    <x v="2"/>
    <s v="Maya Rodriguez"/>
    <x v="3"/>
    <n v="1"/>
    <n v="403.84"/>
    <n v="403.84"/>
  </r>
  <r>
    <s v="D-1140"/>
    <d v="2025-01-30T00:00:00"/>
    <s v="Solstice Group"/>
    <x v="4"/>
    <x v="0"/>
    <s v="Maya Rodriguez"/>
    <x v="3"/>
    <n v="2"/>
    <n v="122.21"/>
    <n v="244.42"/>
  </r>
  <r>
    <s v="D-1141"/>
    <d v="2025-01-10T00:00:00"/>
    <s v="Nova Inc"/>
    <x v="2"/>
    <x v="4"/>
    <s v="Lukas Becker"/>
    <x v="3"/>
    <n v="1"/>
    <n v="1234.1300000000001"/>
    <n v="1234.1300000000001"/>
  </r>
  <r>
    <s v="D-1142"/>
    <d v="2025-01-29T00:00:00"/>
    <s v="Apex Group"/>
    <x v="3"/>
    <x v="11"/>
    <s v="Owen Walsh"/>
    <x v="2"/>
    <n v="1"/>
    <n v="479.31"/>
    <n v="479.31"/>
  </r>
  <r>
    <s v="D-1143"/>
    <d v="2025-02-20T00:00:00"/>
    <s v="Lumen Labs"/>
    <x v="0"/>
    <x v="9"/>
    <s v="Owen Walsh"/>
    <x v="1"/>
    <n v="2"/>
    <n v="72.12"/>
    <n v="144.24"/>
  </r>
  <r>
    <s v="D-1144"/>
    <d v="2025-01-23T00:00:00"/>
    <s v="Onyx Group"/>
    <x v="5"/>
    <x v="3"/>
    <s v="Sarah Chen"/>
    <x v="2"/>
    <n v="1"/>
    <n v="76.11"/>
    <n v="76.11"/>
  </r>
  <r>
    <s v="D-1145"/>
    <d v="2025-03-02T00:00:00"/>
    <s v="Stellar Co"/>
    <x v="3"/>
    <x v="3"/>
    <s v="Sarah Chen"/>
    <x v="2"/>
    <n v="1"/>
    <n v="498.06"/>
    <n v="498.06"/>
  </r>
  <r>
    <s v="D-1146"/>
    <d v="2025-01-31T00:00:00"/>
    <s v="Borealis Co"/>
    <x v="0"/>
    <x v="7"/>
    <s v="Sarah Chen"/>
    <x v="2"/>
    <n v="2"/>
    <n v="49.89"/>
    <n v="99.78"/>
  </r>
  <r>
    <s v="D-1147"/>
    <d v="2025-03-13T00:00:00"/>
    <s v="Apex Group"/>
    <x v="1"/>
    <x v="7"/>
    <s v="Sarah Chen"/>
    <x v="1"/>
    <n v="10"/>
    <n v="162.59"/>
    <n v="1625.9"/>
  </r>
  <r>
    <s v="D-1148"/>
    <d v="2025-01-18T00:00:00"/>
    <s v="Catalyst Inc"/>
    <x v="3"/>
    <x v="3"/>
    <s v="Sarah Chen"/>
    <x v="2"/>
    <n v="1"/>
    <n v="407.67"/>
    <n v="407.67"/>
  </r>
  <r>
    <s v="D-1149"/>
    <d v="2025-02-23T00:00:00"/>
    <s v="Granite Co"/>
    <x v="0"/>
    <x v="5"/>
    <s v="Lukas Becker"/>
    <x v="1"/>
    <n v="10"/>
    <n v="58.15"/>
    <n v="581.5"/>
  </r>
  <r>
    <s v="D-1150"/>
    <d v="2025-01-05T00:00:00"/>
    <s v="Nimbus Co"/>
    <x v="1"/>
    <x v="8"/>
    <s v="Owen Walsh"/>
    <x v="1"/>
    <n v="20"/>
    <n v="192.21"/>
    <n v="3844.2000000000003"/>
  </r>
  <r>
    <s v="D-1151"/>
    <d v="2025-03-12T00:00:00"/>
    <s v="Iris Co"/>
    <x v="5"/>
    <x v="6"/>
    <s v="Lukas Becker"/>
    <x v="1"/>
    <n v="10"/>
    <n v="72.31"/>
    <n v="723.1"/>
  </r>
  <r>
    <s v="D-1152"/>
    <d v="2025-01-02T00:00:00"/>
    <s v="Catalyst Inc"/>
    <x v="0"/>
    <x v="4"/>
    <s v="Lukas Becker"/>
    <x v="2"/>
    <n v="1"/>
    <n v="73.94"/>
    <n v="73.94"/>
  </r>
  <r>
    <s v="D-1153"/>
    <d v="2025-01-11T00:00:00"/>
    <s v="Beacon Labs"/>
    <x v="1"/>
    <x v="7"/>
    <s v="Sarah Chen"/>
    <x v="2"/>
    <n v="1"/>
    <n v="161.18"/>
    <n v="161.18"/>
  </r>
  <r>
    <s v="D-1154"/>
    <d v="2025-02-19T00:00:00"/>
    <s v="Citadel Group"/>
    <x v="2"/>
    <x v="7"/>
    <s v="Sarah Chen"/>
    <x v="3"/>
    <n v="10"/>
    <n v="987.06"/>
    <n v="9870.5999999999985"/>
  </r>
  <r>
    <s v="D-1155"/>
    <d v="2025-01-10T00:00:00"/>
    <s v="Juniper Group"/>
    <x v="1"/>
    <x v="5"/>
    <s v="Lukas Becker"/>
    <x v="2"/>
    <n v="1"/>
    <n v="219.47"/>
    <n v="219.47"/>
  </r>
  <r>
    <s v="D-1156"/>
    <d v="2025-03-27T00:00:00"/>
    <s v="Kestrel Co"/>
    <x v="3"/>
    <x v="0"/>
    <s v="Maya Rodriguez"/>
    <x v="1"/>
    <n v="2"/>
    <n v="445.67"/>
    <n v="891.34"/>
  </r>
  <r>
    <s v="D-1157"/>
    <d v="2025-03-01T00:00:00"/>
    <s v="Onyx Group"/>
    <x v="1"/>
    <x v="3"/>
    <s v="Sarah Chen"/>
    <x v="2"/>
    <n v="5"/>
    <n v="185.31"/>
    <n v="926.55"/>
  </r>
  <r>
    <s v="D-1158"/>
    <d v="2025-01-21T00:00:00"/>
    <s v="Foundry Group"/>
    <x v="5"/>
    <x v="7"/>
    <s v="Sarah Chen"/>
    <x v="3"/>
    <n v="5"/>
    <n v="67.430000000000007"/>
    <n v="337.15000000000003"/>
  </r>
  <r>
    <s v="D-1159"/>
    <d v="2025-02-24T00:00:00"/>
    <s v="Phoenix Co"/>
    <x v="2"/>
    <x v="2"/>
    <s v="Maya Rodriguez"/>
    <x v="2"/>
    <n v="1"/>
    <n v="985.63"/>
    <n v="985.63"/>
  </r>
  <r>
    <s v="D-1160"/>
    <d v="2025-03-08T00:00:00"/>
    <s v="Solstice Group"/>
    <x v="1"/>
    <x v="9"/>
    <s v="Owen Walsh"/>
    <x v="2"/>
    <n v="1"/>
    <n v="186.32"/>
    <n v="186.32"/>
  </r>
  <r>
    <s v="D-1161"/>
    <d v="2025-02-04T00:00:00"/>
    <s v="Harbor Inc"/>
    <x v="3"/>
    <x v="11"/>
    <s v="Owen Walsh"/>
    <x v="2"/>
    <n v="5"/>
    <n v="418.06"/>
    <n v="2090.3000000000002"/>
  </r>
  <r>
    <s v="D-1162"/>
    <d v="2025-03-01T00:00:00"/>
    <s v="Lumen Labs"/>
    <x v="1"/>
    <x v="6"/>
    <s v="Lukas Becker"/>
    <x v="3"/>
    <n v="2"/>
    <n v="262.29000000000002"/>
    <n v="524.58000000000004"/>
  </r>
  <r>
    <s v="D-1163"/>
    <d v="2025-03-19T00:00:00"/>
    <s v="Juniper Group"/>
    <x v="4"/>
    <x v="10"/>
    <s v="Maya Rodriguez"/>
    <x v="3"/>
    <n v="10"/>
    <n v="135.5"/>
    <n v="1355"/>
  </r>
  <r>
    <s v="D-1164"/>
    <d v="2025-01-22T00:00:00"/>
    <s v="Vertex Inc"/>
    <x v="5"/>
    <x v="8"/>
    <s v="Owen Walsh"/>
    <x v="2"/>
    <n v="20"/>
    <n v="98.54"/>
    <n v="1970.8000000000002"/>
  </r>
  <r>
    <s v="D-1165"/>
    <d v="2025-03-26T00:00:00"/>
    <s v="Meridian Group"/>
    <x v="5"/>
    <x v="5"/>
    <s v="Lukas Becker"/>
    <x v="1"/>
    <n v="1"/>
    <n v="95.13"/>
    <n v="95.13"/>
  </r>
  <r>
    <s v="D-1166"/>
    <d v="2025-03-18T00:00:00"/>
    <s v="Phoenix Co"/>
    <x v="0"/>
    <x v="1"/>
    <s v="Sarah Chen"/>
    <x v="2"/>
    <n v="5"/>
    <n v="75.13"/>
    <n v="375.65"/>
  </r>
  <r>
    <s v="D-1167"/>
    <d v="2025-01-20T00:00:00"/>
    <s v="Lattice Co"/>
    <x v="3"/>
    <x v="7"/>
    <s v="Sarah Chen"/>
    <x v="2"/>
    <n v="5"/>
    <n v="404.19"/>
    <n v="2020.95"/>
  </r>
  <r>
    <s v="D-1168"/>
    <d v="2025-03-28T00:00:00"/>
    <s v="Iris Co"/>
    <x v="1"/>
    <x v="5"/>
    <s v="Lukas Becker"/>
    <x v="0"/>
    <n v="50"/>
    <n v="201.51"/>
    <n v="10075.5"/>
  </r>
  <r>
    <s v="D-1169"/>
    <d v="2025-01-14T00:00:00"/>
    <s v="Quartz Co"/>
    <x v="3"/>
    <x v="1"/>
    <s v="Sarah Chen"/>
    <x v="1"/>
    <n v="1"/>
    <n v="426.07"/>
    <n v="426.07"/>
  </r>
  <r>
    <s v="D-1170"/>
    <d v="2025-02-28T00:00:00"/>
    <s v="Lumen Labs"/>
    <x v="3"/>
    <x v="6"/>
    <s v="Lukas Becker"/>
    <x v="0"/>
    <n v="2"/>
    <n v="447.2"/>
    <n v="894.4"/>
  </r>
  <r>
    <s v="D-1171"/>
    <d v="2025-02-28T00:00:00"/>
    <s v="Summit Group"/>
    <x v="0"/>
    <x v="8"/>
    <s v="Owen Walsh"/>
    <x v="1"/>
    <n v="1"/>
    <n v="41.17"/>
    <n v="41.17"/>
  </r>
  <r>
    <s v="D-1172"/>
    <d v="2025-01-17T00:00:00"/>
    <s v="Pacific Co"/>
    <x v="5"/>
    <x v="1"/>
    <s v="Sarah Chen"/>
    <x v="2"/>
    <n v="10"/>
    <n v="82.73"/>
    <n v="827.30000000000007"/>
  </r>
  <r>
    <s v="D-1173"/>
    <d v="2025-03-15T00:00:00"/>
    <s v="Lumen Labs"/>
    <x v="1"/>
    <x v="5"/>
    <s v="Lukas Becker"/>
    <x v="3"/>
    <n v="2"/>
    <n v="226.97"/>
    <n v="453.94"/>
  </r>
  <r>
    <s v="D-1174"/>
    <d v="2025-03-07T00:00:00"/>
    <s v="Catalyst Inc"/>
    <x v="1"/>
    <x v="5"/>
    <s v="Lukas Becker"/>
    <x v="1"/>
    <n v="1"/>
    <n v="153.63999999999999"/>
    <n v="153.63999999999999"/>
  </r>
  <r>
    <s v="D-1175"/>
    <d v="2025-02-21T00:00:00"/>
    <s v="Granite Co"/>
    <x v="0"/>
    <x v="7"/>
    <s v="Sarah Chen"/>
    <x v="0"/>
    <n v="1"/>
    <n v="60.23"/>
    <n v="60.23"/>
  </r>
  <r>
    <s v="D-1176"/>
    <d v="2025-03-17T00:00:00"/>
    <s v="Summit Group"/>
    <x v="4"/>
    <x v="11"/>
    <s v="Owen Walsh"/>
    <x v="0"/>
    <n v="1"/>
    <n v="120.48"/>
    <n v="120.48"/>
  </r>
  <r>
    <s v="D-1177"/>
    <d v="2025-03-24T00:00:00"/>
    <s v="Onyx Group"/>
    <x v="0"/>
    <x v="5"/>
    <s v="Lukas Becker"/>
    <x v="3"/>
    <n v="1"/>
    <n v="67.099999999999994"/>
    <n v="67.099999999999994"/>
  </r>
  <r>
    <s v="D-1178"/>
    <d v="2025-01-30T00:00:00"/>
    <s v="Verdant Inc"/>
    <x v="2"/>
    <x v="7"/>
    <s v="Sarah Chen"/>
    <x v="1"/>
    <n v="20"/>
    <n v="1004.37"/>
    <n v="20087.400000000001"/>
  </r>
  <r>
    <s v="D-1179"/>
    <d v="2025-03-01T00:00:00"/>
    <s v="Kestrel Co"/>
    <x v="2"/>
    <x v="5"/>
    <s v="Lukas Becker"/>
    <x v="0"/>
    <n v="1"/>
    <n v="1309.46"/>
    <n v="1309.46"/>
  </r>
  <r>
    <s v="D-1180"/>
    <d v="2025-01-11T00:00:00"/>
    <s v="Quanta Labs"/>
    <x v="5"/>
    <x v="9"/>
    <s v="Owen Walsh"/>
    <x v="3"/>
    <n v="1"/>
    <n v="95.39"/>
    <n v="95.39"/>
  </r>
  <r>
    <s v="D-1181"/>
    <d v="2025-02-08T00:00:00"/>
    <s v="Summit Group"/>
    <x v="1"/>
    <x v="0"/>
    <s v="Maya Rodriguez"/>
    <x v="1"/>
    <n v="1"/>
    <n v="235.36"/>
    <n v="235.36"/>
  </r>
  <r>
    <s v="D-1182"/>
    <d v="2025-01-19T00:00:00"/>
    <s v="Vertex Inc"/>
    <x v="0"/>
    <x v="11"/>
    <s v="Owen Walsh"/>
    <x v="2"/>
    <n v="10"/>
    <n v="71.39"/>
    <n v="713.9"/>
  </r>
  <r>
    <s v="D-1183"/>
    <d v="2025-03-13T00:00:00"/>
    <s v="Beacon Labs"/>
    <x v="0"/>
    <x v="3"/>
    <s v="Sarah Chen"/>
    <x v="2"/>
    <n v="2"/>
    <n v="58.93"/>
    <n v="117.86"/>
  </r>
  <r>
    <s v="D-1184"/>
    <d v="2025-02-27T00:00:00"/>
    <s v="Quill Labs"/>
    <x v="1"/>
    <x v="11"/>
    <s v="Owen Walsh"/>
    <x v="3"/>
    <n v="5"/>
    <n v="259.85000000000002"/>
    <n v="1299.25"/>
  </r>
  <r>
    <s v="D-1185"/>
    <d v="2025-03-30T00:00:00"/>
    <s v="Iris Co"/>
    <x v="0"/>
    <x v="7"/>
    <s v="Sarah Chen"/>
    <x v="1"/>
    <n v="2"/>
    <n v="75.290000000000006"/>
    <n v="150.58000000000001"/>
  </r>
  <r>
    <s v="D-1186"/>
    <d v="2025-03-28T00:00:00"/>
    <s v="Lattice Co"/>
    <x v="0"/>
    <x v="0"/>
    <s v="Maya Rodriguez"/>
    <x v="3"/>
    <n v="1"/>
    <n v="59.63"/>
    <n v="59.63"/>
  </r>
  <r>
    <s v="D-1187"/>
    <d v="2025-01-12T00:00:00"/>
    <s v="Granite Co"/>
    <x v="1"/>
    <x v="10"/>
    <s v="Maya Rodriguez"/>
    <x v="2"/>
    <n v="2"/>
    <n v="251.17"/>
    <n v="502.34"/>
  </r>
  <r>
    <s v="D-1188"/>
    <d v="2025-03-24T00:00:00"/>
    <s v="Catalyst Inc"/>
    <x v="1"/>
    <x v="2"/>
    <s v="Maya Rodriguez"/>
    <x v="0"/>
    <n v="1"/>
    <n v="187.23"/>
    <n v="187.23"/>
  </r>
  <r>
    <s v="D-1189"/>
    <d v="2025-03-26T00:00:00"/>
    <s v="Nimbus Co"/>
    <x v="0"/>
    <x v="0"/>
    <s v="Maya Rodriguez"/>
    <x v="1"/>
    <n v="1"/>
    <n v="66.010000000000005"/>
    <n v="66.010000000000005"/>
  </r>
  <r>
    <s v="D-1190"/>
    <d v="2025-01-26T00:00:00"/>
    <s v="Prism Group"/>
    <x v="1"/>
    <x v="0"/>
    <s v="Maya Rodriguez"/>
    <x v="2"/>
    <n v="5"/>
    <n v="154.79"/>
    <n v="773.94999999999993"/>
  </r>
  <r>
    <s v="D-1191"/>
    <d v="2025-02-11T00:00:00"/>
    <s v="Lumen Labs"/>
    <x v="5"/>
    <x v="2"/>
    <s v="Maya Rodriguez"/>
    <x v="0"/>
    <n v="1"/>
    <n v="78.92"/>
    <n v="78.92"/>
  </r>
  <r>
    <s v="D-1192"/>
    <d v="2025-03-21T00:00:00"/>
    <s v="Beacon Labs"/>
    <x v="1"/>
    <x v="3"/>
    <s v="Sarah Chen"/>
    <x v="3"/>
    <n v="2"/>
    <n v="218.98"/>
    <n v="437.96"/>
  </r>
  <r>
    <s v="D-1193"/>
    <d v="2025-03-16T00:00:00"/>
    <s v="Atlas Group"/>
    <x v="4"/>
    <x v="11"/>
    <s v="Owen Walsh"/>
    <x v="0"/>
    <n v="20"/>
    <n v="81.95"/>
    <n v="1639"/>
  </r>
  <r>
    <s v="D-1194"/>
    <d v="2025-01-05T00:00:00"/>
    <s v="Onyx Group"/>
    <x v="1"/>
    <x v="10"/>
    <s v="Maya Rodriguez"/>
    <x v="2"/>
    <n v="2"/>
    <n v="193.5"/>
    <n v="387"/>
  </r>
  <r>
    <s v="D-1195"/>
    <d v="2025-02-18T00:00:00"/>
    <s v="Atlas Group"/>
    <x v="1"/>
    <x v="9"/>
    <s v="Owen Walsh"/>
    <x v="2"/>
    <n v="20"/>
    <n v="288.10000000000002"/>
    <n v="5762"/>
  </r>
  <r>
    <s v="D-1196"/>
    <d v="2025-03-17T00:00:00"/>
    <s v="Quartz Co"/>
    <x v="0"/>
    <x v="0"/>
    <s v="Maya Rodriguez"/>
    <x v="2"/>
    <n v="2"/>
    <n v="62.77"/>
    <n v="125.54"/>
  </r>
  <r>
    <s v="D-1197"/>
    <d v="2025-01-20T00:00:00"/>
    <s v="Rivet Co"/>
    <x v="0"/>
    <x v="6"/>
    <s v="Lukas Becker"/>
    <x v="0"/>
    <n v="20"/>
    <n v="59.94"/>
    <n v="1198.8"/>
  </r>
  <r>
    <s v="D-1198"/>
    <d v="2025-01-15T00:00:00"/>
    <s v="Juniper Group"/>
    <x v="3"/>
    <x v="3"/>
    <s v="Sarah Chen"/>
    <x v="1"/>
    <n v="1"/>
    <n v="420.94"/>
    <n v="420.94"/>
  </r>
  <r>
    <s v="D-1199"/>
    <d v="2025-01-29T00:00:00"/>
    <s v="Meridian Group"/>
    <x v="0"/>
    <x v="2"/>
    <s v="Maya Rodriguez"/>
    <x v="1"/>
    <n v="1"/>
    <n v="49.17"/>
    <n v="49.17"/>
  </r>
  <r>
    <s v="D-1200"/>
    <d v="2025-01-26T00:00:00"/>
    <s v="Cascade Group"/>
    <x v="3"/>
    <x v="1"/>
    <s v="Sarah Chen"/>
    <x v="1"/>
    <n v="1"/>
    <n v="402.09"/>
    <n v="402.09"/>
  </r>
  <r>
    <s v="D-1201"/>
    <d v="2025-03-23T00:00:00"/>
    <s v="Kestrel Co"/>
    <x v="1"/>
    <x v="0"/>
    <s v="Maya Rodriguez"/>
    <x v="0"/>
    <n v="1"/>
    <n v="224.95"/>
    <n v="224.95"/>
  </r>
  <r>
    <s v="D-1202"/>
    <d v="2025-01-02T00:00:00"/>
    <s v="Nimbus Co"/>
    <x v="3"/>
    <x v="8"/>
    <s v="Owen Walsh"/>
    <x v="2"/>
    <n v="5"/>
    <n v="369.19"/>
    <n v="1845.95"/>
  </r>
  <r>
    <s v="D-1203"/>
    <d v="2025-02-18T00:00:00"/>
    <s v="Pacific Co"/>
    <x v="3"/>
    <x v="7"/>
    <s v="Sarah Chen"/>
    <x v="1"/>
    <n v="1"/>
    <n v="415.25"/>
    <n v="415.25"/>
  </r>
  <r>
    <s v="D-1204"/>
    <d v="2025-03-20T00:00:00"/>
    <s v="Vertex Inc"/>
    <x v="5"/>
    <x v="6"/>
    <s v="Lukas Becker"/>
    <x v="3"/>
    <n v="1"/>
    <n v="102.63"/>
    <n v="102.63"/>
  </r>
  <r>
    <s v="D-1205"/>
    <d v="2025-02-11T00:00:00"/>
    <s v="Orbit Co"/>
    <x v="3"/>
    <x v="8"/>
    <s v="Owen Walsh"/>
    <x v="1"/>
    <n v="2"/>
    <n v="410.14"/>
    <n v="820.28"/>
  </r>
  <r>
    <s v="D-1206"/>
    <d v="2025-01-07T00:00:00"/>
    <s v="Stellar Co"/>
    <x v="5"/>
    <x v="4"/>
    <s v="Lukas Becker"/>
    <x v="3"/>
    <n v="5"/>
    <n v="74.69"/>
    <n v="373.45"/>
  </r>
  <r>
    <s v="D-1207"/>
    <d v="2025-02-08T00:00:00"/>
    <s v="Summit Group"/>
    <x v="1"/>
    <x v="1"/>
    <s v="Sarah Chen"/>
    <x v="2"/>
    <n v="20"/>
    <n v="228.23"/>
    <n v="4564.5999999999995"/>
  </r>
  <r>
    <s v="D-1208"/>
    <d v="2025-02-16T00:00:00"/>
    <s v="Iris Co"/>
    <x v="5"/>
    <x v="10"/>
    <s v="Maya Rodriguez"/>
    <x v="2"/>
    <n v="1"/>
    <n v="104.56"/>
    <n v="104.56"/>
  </r>
  <r>
    <s v="D-1209"/>
    <d v="2025-01-10T00:00:00"/>
    <s v="Lattice Co"/>
    <x v="1"/>
    <x v="4"/>
    <s v="Lukas Becker"/>
    <x v="2"/>
    <n v="1"/>
    <n v="276.18"/>
    <n v="276.18"/>
  </r>
  <r>
    <s v="D-1210"/>
    <d v="2025-02-04T00:00:00"/>
    <s v="Borealis Co"/>
    <x v="3"/>
    <x v="3"/>
    <s v="Sarah Chen"/>
    <x v="0"/>
    <n v="5"/>
    <n v="431.34"/>
    <n v="2156.6999999999998"/>
  </r>
  <r>
    <s v="D-1211"/>
    <d v="2025-01-06T00:00:00"/>
    <s v="Apex Group"/>
    <x v="5"/>
    <x v="8"/>
    <s v="Owen Walsh"/>
    <x v="0"/>
    <n v="5"/>
    <n v="69.69"/>
    <n v="348.45"/>
  </r>
  <r>
    <s v="D-1212"/>
    <d v="2025-03-23T00:00:00"/>
    <s v="Harbor Inc"/>
    <x v="1"/>
    <x v="7"/>
    <s v="Sarah Chen"/>
    <x v="1"/>
    <n v="2"/>
    <n v="283.25"/>
    <n v="566.5"/>
  </r>
  <r>
    <s v="D-1213"/>
    <d v="2025-02-09T00:00:00"/>
    <s v="Phoenix Co"/>
    <x v="3"/>
    <x v="6"/>
    <s v="Lukas Becker"/>
    <x v="0"/>
    <n v="1"/>
    <n v="440.61"/>
    <n v="440.61"/>
  </r>
  <r>
    <s v="D-1214"/>
    <d v="2025-02-20T00:00:00"/>
    <s v="Pacific Co"/>
    <x v="5"/>
    <x v="11"/>
    <s v="Owen Walsh"/>
    <x v="0"/>
    <n v="50"/>
    <n v="62.85"/>
    <n v="3142.5"/>
  </r>
  <r>
    <s v="D-1215"/>
    <d v="2025-01-10T00:00:00"/>
    <s v="Helix Systems"/>
    <x v="0"/>
    <x v="1"/>
    <s v="Sarah Chen"/>
    <x v="1"/>
    <n v="20"/>
    <n v="63.25"/>
    <n v="1265"/>
  </r>
  <r>
    <s v="D-1216"/>
    <d v="2025-01-23T00:00:00"/>
    <s v="Catalyst Inc"/>
    <x v="1"/>
    <x v="0"/>
    <s v="Maya Rodriguez"/>
    <x v="3"/>
    <n v="1"/>
    <n v="256.91000000000003"/>
    <n v="256.91000000000003"/>
  </r>
  <r>
    <s v="D-1217"/>
    <d v="2025-02-27T00:00:00"/>
    <s v="Pacific Co"/>
    <x v="1"/>
    <x v="3"/>
    <s v="Sarah Chen"/>
    <x v="2"/>
    <n v="1"/>
    <n v="293.39"/>
    <n v="293.39"/>
  </r>
  <r>
    <s v="D-1218"/>
    <d v="2025-03-16T00:00:00"/>
    <s v="Nimbus Co"/>
    <x v="0"/>
    <x v="1"/>
    <s v="Sarah Chen"/>
    <x v="3"/>
    <n v="10"/>
    <n v="49.92"/>
    <n v="499.20000000000005"/>
  </r>
  <r>
    <s v="D-1219"/>
    <d v="2025-01-11T00:00:00"/>
    <s v="Northwind Co"/>
    <x v="5"/>
    <x v="1"/>
    <s v="Sarah Chen"/>
    <x v="1"/>
    <n v="1"/>
    <n v="63.23"/>
    <n v="63.23"/>
  </r>
  <r>
    <s v="D-1220"/>
    <d v="2025-01-12T00:00:00"/>
    <s v="Echo Labs"/>
    <x v="5"/>
    <x v="7"/>
    <s v="Sarah Chen"/>
    <x v="2"/>
    <n v="1"/>
    <n v="92.43"/>
    <n v="92.43"/>
  </r>
  <r>
    <s v="D-1221"/>
    <d v="2025-01-26T00:00:00"/>
    <s v="Quill Labs"/>
    <x v="1"/>
    <x v="9"/>
    <s v="Owen Walsh"/>
    <x v="1"/>
    <n v="2"/>
    <n v="188.38"/>
    <n v="376.76"/>
  </r>
  <r>
    <s v="D-1222"/>
    <d v="2025-03-19T00:00:00"/>
    <s v="Solstice Group"/>
    <x v="1"/>
    <x v="2"/>
    <s v="Maya Rodriguez"/>
    <x v="3"/>
    <n v="1"/>
    <n v="277.92"/>
    <n v="277.92"/>
  </r>
  <r>
    <s v="D-1223"/>
    <d v="2025-03-13T00:00:00"/>
    <s v="Obsidian Co"/>
    <x v="3"/>
    <x v="5"/>
    <s v="Lukas Becker"/>
    <x v="1"/>
    <n v="1"/>
    <n v="382.36"/>
    <n v="382.36"/>
  </r>
  <r>
    <s v="D-1224"/>
    <d v="2025-01-26T00:00:00"/>
    <s v="Verdant Inc"/>
    <x v="1"/>
    <x v="2"/>
    <s v="Maya Rodriguez"/>
    <x v="3"/>
    <n v="1"/>
    <n v="195.73"/>
    <n v="195.73"/>
  </r>
  <r>
    <s v="D-1225"/>
    <d v="2025-03-28T00:00:00"/>
    <s v="Kestrel Co"/>
    <x v="0"/>
    <x v="1"/>
    <s v="Sarah Chen"/>
    <x v="1"/>
    <n v="1"/>
    <n v="78.239999999999995"/>
    <n v="78.239999999999995"/>
  </r>
  <r>
    <s v="D-1226"/>
    <d v="2025-03-01T00:00:00"/>
    <s v="Apex Group"/>
    <x v="3"/>
    <x v="5"/>
    <s v="Lukas Becker"/>
    <x v="1"/>
    <n v="2"/>
    <n v="408.62"/>
    <n v="817.24"/>
  </r>
  <r>
    <s v="D-1227"/>
    <d v="2025-03-29T00:00:00"/>
    <s v="Cascade Group"/>
    <x v="0"/>
    <x v="5"/>
    <s v="Lukas Becker"/>
    <x v="0"/>
    <n v="2"/>
    <n v="63.35"/>
    <n v="126.7"/>
  </r>
  <r>
    <s v="D-1228"/>
    <d v="2025-03-17T00:00:00"/>
    <s v="Quanta Labs"/>
    <x v="0"/>
    <x v="9"/>
    <s v="Owen Walsh"/>
    <x v="1"/>
    <n v="1"/>
    <n v="60.9"/>
    <n v="60.9"/>
  </r>
  <r>
    <s v="D-1229"/>
    <d v="2025-01-13T00:00:00"/>
    <s v="Arcadia Inc"/>
    <x v="3"/>
    <x v="1"/>
    <s v="Sarah Chen"/>
    <x v="1"/>
    <n v="2"/>
    <n v="409.02"/>
    <n v="818.04"/>
  </r>
  <r>
    <s v="D-1230"/>
    <d v="2025-01-01T00:00:00"/>
    <s v="Fusion Group"/>
    <x v="1"/>
    <x v="7"/>
    <s v="Sarah Chen"/>
    <x v="0"/>
    <n v="2"/>
    <n v="248.58"/>
    <n v="497.16"/>
  </r>
  <r>
    <s v="D-1231"/>
    <d v="2025-01-04T00:00:00"/>
    <s v="Borealis Co"/>
    <x v="2"/>
    <x v="7"/>
    <s v="Sarah Chen"/>
    <x v="1"/>
    <n v="1"/>
    <n v="992.76"/>
    <n v="992.76"/>
  </r>
  <r>
    <s v="D-1232"/>
    <d v="2025-02-07T00:00:00"/>
    <s v="Vertex Inc"/>
    <x v="0"/>
    <x v="0"/>
    <s v="Maya Rodriguez"/>
    <x v="3"/>
    <n v="1"/>
    <n v="54.56"/>
    <n v="54.56"/>
  </r>
  <r>
    <s v="D-1233"/>
    <d v="2025-03-15T00:00:00"/>
    <s v="Driftwood Co"/>
    <x v="1"/>
    <x v="0"/>
    <s v="Maya Rodriguez"/>
    <x v="1"/>
    <n v="1"/>
    <n v="229.82"/>
    <n v="229.82"/>
  </r>
  <r>
    <s v="D-1234"/>
    <d v="2025-01-14T00:00:00"/>
    <s v="Pacific Co"/>
    <x v="1"/>
    <x v="0"/>
    <s v="Maya Rodriguez"/>
    <x v="2"/>
    <n v="2"/>
    <n v="233.74"/>
    <n v="467.48"/>
  </r>
  <r>
    <s v="D-1235"/>
    <d v="2025-01-24T00:00:00"/>
    <s v="Granite Co"/>
    <x v="0"/>
    <x v="9"/>
    <s v="Owen Walsh"/>
    <x v="3"/>
    <n v="2"/>
    <n v="42.63"/>
    <n v="85.26"/>
  </r>
  <r>
    <s v="D-1236"/>
    <d v="2025-02-25T00:00:00"/>
    <s v="Harbor Inc"/>
    <x v="1"/>
    <x v="2"/>
    <s v="Maya Rodriguez"/>
    <x v="0"/>
    <n v="5"/>
    <n v="289.32"/>
    <n v="1446.6"/>
  </r>
  <r>
    <s v="D-1237"/>
    <d v="2025-03-05T00:00:00"/>
    <s v="Apex Group"/>
    <x v="0"/>
    <x v="3"/>
    <s v="Sarah Chen"/>
    <x v="0"/>
    <n v="2"/>
    <n v="79.56"/>
    <n v="159.12"/>
  </r>
  <r>
    <s v="D-1238"/>
    <d v="2025-03-18T00:00:00"/>
    <s v="Harbor Inc"/>
    <x v="0"/>
    <x v="9"/>
    <s v="Owen Walsh"/>
    <x v="3"/>
    <n v="2"/>
    <n v="44.69"/>
    <n v="89.38"/>
  </r>
  <r>
    <s v="D-1239"/>
    <d v="2025-02-18T00:00:00"/>
    <s v="Vertex Inc"/>
    <x v="0"/>
    <x v="8"/>
    <s v="Owen Walsh"/>
    <x v="3"/>
    <n v="2"/>
    <n v="42.09"/>
    <n v="84.18"/>
  </r>
  <r>
    <s v="D-1240"/>
    <d v="2025-02-26T00:00:00"/>
    <s v="Driftwood Co"/>
    <x v="1"/>
    <x v="9"/>
    <s v="Owen Walsh"/>
    <x v="3"/>
    <n v="1"/>
    <n v="244.89"/>
    <n v="244.89"/>
  </r>
  <r>
    <s v="D-1241"/>
    <d v="2025-03-03T00:00:00"/>
    <s v="Fusion Group"/>
    <x v="1"/>
    <x v="11"/>
    <s v="Owen Walsh"/>
    <x v="2"/>
    <n v="10"/>
    <n v="250.52"/>
    <n v="2505.2000000000003"/>
  </r>
  <r>
    <s v="D-1242"/>
    <d v="2025-02-21T00:00:00"/>
    <s v="Vertex Inc"/>
    <x v="0"/>
    <x v="7"/>
    <s v="Sarah Chen"/>
    <x v="3"/>
    <n v="1"/>
    <n v="46.99"/>
    <n v="46.99"/>
  </r>
  <r>
    <s v="D-1243"/>
    <d v="2025-02-05T00:00:00"/>
    <s v="Nimbus Co"/>
    <x v="1"/>
    <x v="5"/>
    <s v="Lukas Becker"/>
    <x v="2"/>
    <n v="5"/>
    <n v="249.29"/>
    <n v="1246.45"/>
  </r>
  <r>
    <s v="D-1244"/>
    <d v="2025-01-18T00:00:00"/>
    <s v="Cascade Group"/>
    <x v="1"/>
    <x v="8"/>
    <s v="Owen Walsh"/>
    <x v="2"/>
    <n v="1"/>
    <n v="295.33999999999997"/>
    <n v="295.33999999999997"/>
  </r>
  <r>
    <s v="D-1245"/>
    <d v="2025-01-13T00:00:00"/>
    <s v="Quill Labs"/>
    <x v="1"/>
    <x v="0"/>
    <s v="Maya Rodriguez"/>
    <x v="2"/>
    <n v="5"/>
    <n v="177.21"/>
    <n v="886.05000000000007"/>
  </r>
  <r>
    <s v="D-1246"/>
    <d v="2025-02-28T00:00:00"/>
    <s v="Atlas Group"/>
    <x v="3"/>
    <x v="7"/>
    <s v="Sarah Chen"/>
    <x v="2"/>
    <n v="5"/>
    <n v="481.6"/>
    <n v="2408"/>
  </r>
  <r>
    <s v="D-1247"/>
    <d v="2025-02-08T00:00:00"/>
    <s v="Borealis Co"/>
    <x v="4"/>
    <x v="0"/>
    <s v="Maya Rodriguez"/>
    <x v="1"/>
    <n v="20"/>
    <n v="81.900000000000006"/>
    <n v="1638"/>
  </r>
  <r>
    <s v="D-1248"/>
    <d v="2025-03-12T00:00:00"/>
    <s v="Quanta Labs"/>
    <x v="2"/>
    <x v="1"/>
    <s v="Sarah Chen"/>
    <x v="0"/>
    <n v="20"/>
    <n v="1203.23"/>
    <n v="24064.6"/>
  </r>
  <r>
    <s v="D-1249"/>
    <d v="2025-01-02T00:00:00"/>
    <s v="Summit Group"/>
    <x v="2"/>
    <x v="4"/>
    <s v="Lukas Becker"/>
    <x v="2"/>
    <n v="1"/>
    <n v="1198.5899999999999"/>
    <n v="1198.5899999999999"/>
  </r>
  <r>
    <s v="D-1250"/>
    <d v="2025-01-10T00:00:00"/>
    <s v="Kestrel Co"/>
    <x v="0"/>
    <x v="8"/>
    <s v="Owen Walsh"/>
    <x v="2"/>
    <n v="1"/>
    <n v="70.61"/>
    <n v="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ellen" cacheId="18" applyNumberFormats="0" applyBorderFormats="0" applyFontFormats="0" applyPatternFormats="0" applyAlignmentFormats="0" applyWidthHeightFormats="0" dataCaption="" updatedVersion="8" compact="0" compactData="0">
  <location ref="A1:H15" firstHeaderRow="1" firstDataRow="2" firstDataCol="1"/>
  <pivotFields count="10">
    <pivotField name="DealID" compact="0" outline="0" multipleItemSelectionAllowed="1" showAll="0"/>
    <pivotField name="Date" compact="0" numFmtId="164" outline="0" multipleItemSelectionAllowed="1" showAll="0"/>
    <pivotField name="CustomerName" compact="0" outline="0" multipleItemSelectionAllowed="1" showAll="0"/>
    <pivotField name="CategoryName" axis="axisCol" compact="0" outline="0" multipleItemSelectionAllowed="1" showAll="0" sortType="descending">
      <items count="7">
        <item x="0"/>
        <item x="1"/>
        <item x="2"/>
        <item x="3"/>
        <item x="4"/>
        <item x="5"/>
        <item t="default"/>
      </items>
    </pivotField>
    <pivotField name="SalesRep" axis="axisRow" compact="0" outline="0" multipleItemSelectionAllowed="1" showAll="0" sortType="ascending">
      <items count="13">
        <item x="3"/>
        <item x="2"/>
        <item x="1"/>
        <item x="4"/>
        <item x="11"/>
        <item x="8"/>
        <item x="7"/>
        <item x="5"/>
        <item x="0"/>
        <item x="9"/>
        <item x="10"/>
        <item x="6"/>
        <item t="default"/>
      </items>
    </pivotField>
    <pivotField name="Manager" compact="0" outline="0" multipleItemSelectionAllowed="1" showAll="0"/>
    <pivotField name="Region" compact="0" outline="0" multipleItemSelectionAllowed="1" showAll="0"/>
    <pivotField name="Units" compact="0" outline="0" multipleItemSelectionAllowed="1" showAll="0"/>
    <pivotField name="UnitPrice" compact="0" numFmtId="165" outline="0" multipleItemSelectionAllowed="1" showAll="0"/>
    <pivotField name="Revenue" dataField="1" compact="0" numFmtId="166" outline="0" multipleItemSelectionAllowed="1" showAll="0"/>
  </pivotFields>
  <rowFields count="1">
    <field x="4"/>
  </rowFields>
  <rowItems count="13">
    <i>
      <x/>
    </i>
    <i>
      <x v="1"/>
    </i>
    <i>
      <x v="2"/>
    </i>
    <i>
      <x v="3"/>
    </i>
    <i>
      <x v="4"/>
    </i>
    <i>
      <x v="5"/>
    </i>
    <i>
      <x v="6"/>
    </i>
    <i>
      <x v="7"/>
    </i>
    <i>
      <x v="8"/>
    </i>
    <i>
      <x v="9"/>
    </i>
    <i>
      <x v="10"/>
    </i>
    <i>
      <x v="11"/>
    </i>
    <i t="grand">
      <x/>
    </i>
  </rowItems>
  <colFields count="1">
    <field x="3"/>
  </colFields>
  <colItems count="7">
    <i>
      <x/>
    </i>
    <i>
      <x v="1"/>
    </i>
    <i>
      <x v="2"/>
    </i>
    <i>
      <x v="3"/>
    </i>
    <i>
      <x v="4"/>
    </i>
    <i>
      <x v="5"/>
    </i>
    <i t="grand">
      <x/>
    </i>
  </colItems>
  <dataFields count="1">
    <dataField name="SUM of Revenue" fld="9" baseField="0" numFmtId="2"/>
  </dataFields>
  <formats count="1">
    <format dxfId="8">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ellen 2" cacheId="18" applyNumberFormats="0" applyBorderFormats="0" applyFontFormats="0" applyPatternFormats="0" applyAlignmentFormats="0" applyWidthHeightFormats="0" dataCaption="" updatedVersion="8" compact="0" compactData="0">
  <location ref="A18:F32" firstHeaderRow="1" firstDataRow="2" firstDataCol="1"/>
  <pivotFields count="10">
    <pivotField name="DealID" compact="0" outline="0" multipleItemSelectionAllowed="1" showAll="0"/>
    <pivotField name="Date" compact="0" numFmtId="164" outline="0" multipleItemSelectionAllowed="1" showAll="0"/>
    <pivotField name="CustomerName" compact="0" outline="0" multipleItemSelectionAllowed="1" showAll="0"/>
    <pivotField name="CategoryName" compact="0" outline="0" multipleItemSelectionAllowed="1" showAll="0"/>
    <pivotField name="SalesRep" axis="axisRow" compact="0" outline="0" multipleItemSelectionAllowed="1" showAll="0" sortType="ascending">
      <items count="13">
        <item x="3"/>
        <item x="2"/>
        <item x="1"/>
        <item x="4"/>
        <item x="11"/>
        <item x="8"/>
        <item x="7"/>
        <item x="5"/>
        <item x="0"/>
        <item x="9"/>
        <item x="10"/>
        <item x="6"/>
        <item t="default"/>
      </items>
    </pivotField>
    <pivotField name="Manager" compact="0" outline="0" multipleItemSelectionAllowed="1" showAll="0"/>
    <pivotField name="Region" axis="axisCol" compact="0" outline="0" multipleItemSelectionAllowed="1" showAll="0" sortType="ascending">
      <items count="6">
        <item x="3"/>
        <item x="1"/>
        <item x="0"/>
        <item x="2"/>
        <item m="1" x="4"/>
        <item t="default"/>
      </items>
    </pivotField>
    <pivotField name="Units" compact="0" outline="0" multipleItemSelectionAllowed="1" showAll="0"/>
    <pivotField name="UnitPrice" compact="0" numFmtId="165" outline="0" multipleItemSelectionAllowed="1" showAll="0"/>
    <pivotField name="Revenue" dataField="1" compact="0" numFmtId="166" outline="0" multipleItemSelectionAllowed="1" showAll="0"/>
  </pivotFields>
  <rowFields count="1">
    <field x="4"/>
  </rowFields>
  <rowItems count="13">
    <i>
      <x/>
    </i>
    <i>
      <x v="1"/>
    </i>
    <i>
      <x v="2"/>
    </i>
    <i>
      <x v="3"/>
    </i>
    <i>
      <x v="4"/>
    </i>
    <i>
      <x v="5"/>
    </i>
    <i>
      <x v="6"/>
    </i>
    <i>
      <x v="7"/>
    </i>
    <i>
      <x v="8"/>
    </i>
    <i>
      <x v="9"/>
    </i>
    <i>
      <x v="10"/>
    </i>
    <i>
      <x v="11"/>
    </i>
    <i t="grand">
      <x/>
    </i>
  </rowItems>
  <colFields count="1">
    <field x="6"/>
  </colFields>
  <colItems count="5">
    <i>
      <x/>
    </i>
    <i>
      <x v="1"/>
    </i>
    <i>
      <x v="2"/>
    </i>
    <i>
      <x v="3"/>
    </i>
    <i t="grand">
      <x/>
    </i>
  </colItems>
  <dataFields count="1">
    <dataField name="SUM of Revenue" fld="9" baseField="0" numFmtId="2"/>
  </dataFields>
  <formats count="1">
    <format dxfId="1">
      <pivotArea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55"/>
  <sheetViews>
    <sheetView workbookViewId="0"/>
  </sheetViews>
  <sheetFormatPr baseColWidth="10" defaultColWidth="12.6328125" defaultRowHeight="15.75" customHeight="1"/>
  <cols>
    <col min="2" max="2" width="18.36328125" customWidth="1"/>
    <col min="3" max="3" width="21.453125" customWidth="1"/>
    <col min="4" max="4" width="21.08984375" customWidth="1"/>
    <col min="5" max="5" width="19" customWidth="1"/>
    <col min="6" max="6" width="17.453125" customWidth="1"/>
    <col min="7" max="7" width="17.6328125" customWidth="1"/>
    <col min="8" max="8" width="15.90625" customWidth="1"/>
    <col min="9" max="9" width="18.453125" customWidth="1"/>
    <col min="10" max="10" width="18.6328125" customWidth="1"/>
  </cols>
  <sheetData>
    <row r="1" spans="1:10" ht="15.75" customHeight="1">
      <c r="A1" s="1" t="s">
        <v>0</v>
      </c>
      <c r="B1" s="1" t="s">
        <v>2</v>
      </c>
      <c r="C1" s="1" t="s">
        <v>3</v>
      </c>
      <c r="D1" s="1" t="s">
        <v>4</v>
      </c>
      <c r="E1" s="1" t="s">
        <v>5</v>
      </c>
      <c r="F1" s="1" t="s">
        <v>6</v>
      </c>
      <c r="G1" s="1" t="s">
        <v>7</v>
      </c>
      <c r="H1" s="1" t="s">
        <v>8</v>
      </c>
      <c r="I1" s="1" t="s">
        <v>9</v>
      </c>
      <c r="J1" s="1" t="s">
        <v>10</v>
      </c>
    </row>
    <row r="2" spans="1:10" ht="15.75" customHeight="1">
      <c r="A2" s="1" t="s">
        <v>11</v>
      </c>
      <c r="B2" s="4">
        <v>45658</v>
      </c>
      <c r="C2" s="1" t="s">
        <v>12</v>
      </c>
      <c r="D2" s="1" t="s">
        <v>13</v>
      </c>
      <c r="E2" s="1" t="s">
        <v>14</v>
      </c>
      <c r="F2" s="1" t="s">
        <v>15</v>
      </c>
      <c r="G2" s="1" t="s">
        <v>17</v>
      </c>
      <c r="H2" s="1">
        <v>2</v>
      </c>
      <c r="I2" s="1" t="s">
        <v>18</v>
      </c>
      <c r="J2" s="1" t="s">
        <v>19</v>
      </c>
    </row>
    <row r="3" spans="1:10" ht="15.75" customHeight="1">
      <c r="A3" s="1" t="s">
        <v>21</v>
      </c>
      <c r="B3" s="4">
        <v>45658</v>
      </c>
      <c r="C3" s="1" t="s">
        <v>23</v>
      </c>
      <c r="D3" s="1" t="s">
        <v>24</v>
      </c>
      <c r="E3" s="1" t="s">
        <v>25</v>
      </c>
      <c r="F3" s="1" t="s">
        <v>15</v>
      </c>
      <c r="G3" s="1" t="s">
        <v>17</v>
      </c>
      <c r="H3" s="1">
        <v>10</v>
      </c>
      <c r="I3" s="1" t="s">
        <v>27</v>
      </c>
      <c r="J3" s="6">
        <v>125889</v>
      </c>
    </row>
    <row r="4" spans="1:10" ht="15.75" customHeight="1">
      <c r="A4" s="1" t="s">
        <v>28</v>
      </c>
      <c r="B4" s="4">
        <v>45658</v>
      </c>
      <c r="C4" s="1" t="s">
        <v>29</v>
      </c>
      <c r="D4" s="1" t="s">
        <v>24</v>
      </c>
      <c r="E4" s="1" t="s">
        <v>30</v>
      </c>
      <c r="F4" s="1" t="s">
        <v>31</v>
      </c>
      <c r="G4" s="1" t="s">
        <v>32</v>
      </c>
      <c r="H4" s="1">
        <v>2</v>
      </c>
      <c r="I4" s="1" t="s">
        <v>33</v>
      </c>
      <c r="J4" s="1" t="s">
        <v>34</v>
      </c>
    </row>
    <row r="5" spans="1:10" ht="15.75" customHeight="1">
      <c r="A5" s="1" t="s">
        <v>35</v>
      </c>
      <c r="B5" s="4">
        <v>45659</v>
      </c>
      <c r="C5" s="1" t="s">
        <v>36</v>
      </c>
      <c r="D5" s="1" t="s">
        <v>37</v>
      </c>
      <c r="E5" s="1" t="s">
        <v>38</v>
      </c>
      <c r="F5" s="1" t="s">
        <v>15</v>
      </c>
      <c r="G5" s="1" t="s">
        <v>39</v>
      </c>
      <c r="H5" s="1">
        <v>1</v>
      </c>
      <c r="I5" s="1" t="s">
        <v>40</v>
      </c>
      <c r="J5" s="1" t="s">
        <v>40</v>
      </c>
    </row>
    <row r="6" spans="1:10" ht="15.75" customHeight="1">
      <c r="A6" s="1" t="s">
        <v>41</v>
      </c>
      <c r="B6" s="4">
        <v>45659</v>
      </c>
      <c r="C6" s="1" t="s">
        <v>42</v>
      </c>
      <c r="D6" s="1" t="s">
        <v>13</v>
      </c>
      <c r="E6" s="1" t="s">
        <v>38</v>
      </c>
      <c r="F6" s="1" t="s">
        <v>15</v>
      </c>
      <c r="G6" s="1" t="s">
        <v>17</v>
      </c>
      <c r="H6" s="1">
        <v>1</v>
      </c>
      <c r="I6" s="1" t="s">
        <v>44</v>
      </c>
      <c r="J6" s="1" t="s">
        <v>44</v>
      </c>
    </row>
    <row r="7" spans="1:10" ht="15.75" customHeight="1">
      <c r="A7" s="1" t="s">
        <v>45</v>
      </c>
      <c r="B7" s="4">
        <v>45659</v>
      </c>
      <c r="C7" s="1" t="s">
        <v>46</v>
      </c>
      <c r="D7" s="1" t="s">
        <v>48</v>
      </c>
      <c r="E7" s="1" t="s">
        <v>49</v>
      </c>
      <c r="F7" s="1" t="s">
        <v>50</v>
      </c>
      <c r="G7" s="1" t="s">
        <v>17</v>
      </c>
      <c r="H7" s="1">
        <v>5</v>
      </c>
      <c r="I7" s="1" t="s">
        <v>53</v>
      </c>
      <c r="J7" s="1" t="s">
        <v>54</v>
      </c>
    </row>
    <row r="8" spans="1:10" ht="15.75" customHeight="1">
      <c r="A8" s="1" t="s">
        <v>55</v>
      </c>
      <c r="B8" s="4">
        <v>45659</v>
      </c>
      <c r="C8" s="1" t="s">
        <v>57</v>
      </c>
      <c r="D8" s="1" t="s">
        <v>58</v>
      </c>
      <c r="E8" s="1" t="s">
        <v>38</v>
      </c>
      <c r="F8" s="1" t="s">
        <v>15</v>
      </c>
      <c r="G8" s="1" t="s">
        <v>17</v>
      </c>
      <c r="H8" s="1">
        <v>1</v>
      </c>
      <c r="I8" s="1" t="s">
        <v>59</v>
      </c>
      <c r="J8" s="1" t="s">
        <v>59</v>
      </c>
    </row>
    <row r="9" spans="1:10" ht="15.75" customHeight="1">
      <c r="A9" s="1" t="s">
        <v>60</v>
      </c>
      <c r="B9" s="4">
        <v>45661</v>
      </c>
      <c r="C9" s="1" t="s">
        <v>61</v>
      </c>
      <c r="D9" s="1" t="s">
        <v>58</v>
      </c>
      <c r="E9" s="1" t="s">
        <v>62</v>
      </c>
      <c r="F9" s="1" t="s">
        <v>31</v>
      </c>
      <c r="G9" s="1" t="s">
        <v>39</v>
      </c>
      <c r="H9" s="1">
        <v>2</v>
      </c>
      <c r="I9" s="1" t="s">
        <v>63</v>
      </c>
      <c r="J9" s="1" t="s">
        <v>64</v>
      </c>
    </row>
    <row r="10" spans="1:10" ht="15.75" customHeight="1">
      <c r="A10" s="1" t="s">
        <v>65</v>
      </c>
      <c r="B10" s="4">
        <v>45661</v>
      </c>
      <c r="C10" s="1" t="s">
        <v>66</v>
      </c>
      <c r="D10" s="1" t="s">
        <v>13</v>
      </c>
      <c r="E10" s="1" t="s">
        <v>67</v>
      </c>
      <c r="F10" s="1" t="s">
        <v>52</v>
      </c>
      <c r="G10" s="1" t="s">
        <v>39</v>
      </c>
      <c r="H10" s="1">
        <v>1</v>
      </c>
      <c r="I10" s="1" t="s">
        <v>68</v>
      </c>
      <c r="J10" s="1" t="s">
        <v>68</v>
      </c>
    </row>
    <row r="11" spans="1:10" ht="15.75" customHeight="1">
      <c r="A11" s="1" t="s">
        <v>69</v>
      </c>
      <c r="B11" s="4">
        <v>45661</v>
      </c>
      <c r="C11" s="1" t="s">
        <v>70</v>
      </c>
      <c r="D11" s="1" t="s">
        <v>37</v>
      </c>
      <c r="E11" s="1" t="s">
        <v>25</v>
      </c>
      <c r="F11" s="1" t="s">
        <v>15</v>
      </c>
      <c r="G11" s="1" t="s">
        <v>71</v>
      </c>
      <c r="H11" s="1">
        <v>2</v>
      </c>
      <c r="I11" s="1" t="s">
        <v>72</v>
      </c>
      <c r="J11" s="1" t="s">
        <v>73</v>
      </c>
    </row>
    <row r="12" spans="1:10" ht="15.75" customHeight="1">
      <c r="A12" s="1" t="s">
        <v>74</v>
      </c>
      <c r="B12" s="4">
        <v>45661</v>
      </c>
      <c r="C12" s="1" t="s">
        <v>36</v>
      </c>
      <c r="D12" s="1" t="s">
        <v>13</v>
      </c>
      <c r="E12" s="1" t="s">
        <v>30</v>
      </c>
      <c r="F12" s="1" t="s">
        <v>31</v>
      </c>
      <c r="G12" s="1" t="s">
        <v>32</v>
      </c>
      <c r="H12" s="1">
        <v>5</v>
      </c>
      <c r="I12" s="1" t="s">
        <v>75</v>
      </c>
      <c r="J12" s="1" t="s">
        <v>76</v>
      </c>
    </row>
    <row r="13" spans="1:10" ht="15.75" customHeight="1">
      <c r="A13" s="1" t="s">
        <v>78</v>
      </c>
      <c r="B13" s="4">
        <v>45661</v>
      </c>
      <c r="C13" s="1" t="s">
        <v>79</v>
      </c>
      <c r="D13" s="1" t="s">
        <v>58</v>
      </c>
      <c r="E13" s="1" t="s">
        <v>30</v>
      </c>
      <c r="F13" s="1" t="s">
        <v>31</v>
      </c>
      <c r="G13" s="1" t="s">
        <v>39</v>
      </c>
      <c r="H13" s="1">
        <v>1</v>
      </c>
      <c r="I13" s="1" t="s">
        <v>80</v>
      </c>
      <c r="J13" s="1" t="s">
        <v>80</v>
      </c>
    </row>
    <row r="14" spans="1:10" ht="15.75" customHeight="1">
      <c r="A14" s="1" t="s">
        <v>81</v>
      </c>
      <c r="B14" s="4">
        <v>45662</v>
      </c>
      <c r="C14" s="1" t="s">
        <v>47</v>
      </c>
      <c r="D14" s="1" t="s">
        <v>24</v>
      </c>
      <c r="E14" s="1" t="s">
        <v>25</v>
      </c>
      <c r="F14" s="1" t="s">
        <v>15</v>
      </c>
      <c r="G14" s="1" t="s">
        <v>82</v>
      </c>
      <c r="H14" s="1">
        <v>20</v>
      </c>
      <c r="I14" s="1" t="s">
        <v>83</v>
      </c>
      <c r="J14" s="6">
        <v>1125162</v>
      </c>
    </row>
    <row r="15" spans="1:10" ht="15.75" customHeight="1">
      <c r="A15" s="1" t="s">
        <v>84</v>
      </c>
      <c r="B15" s="4">
        <v>45662</v>
      </c>
      <c r="C15" s="1" t="s">
        <v>85</v>
      </c>
      <c r="D15" s="1" t="s">
        <v>48</v>
      </c>
      <c r="E15" s="1" t="s">
        <v>62</v>
      </c>
      <c r="F15" s="1" t="s">
        <v>31</v>
      </c>
      <c r="G15" s="1" t="s">
        <v>86</v>
      </c>
      <c r="H15" s="1">
        <v>1</v>
      </c>
      <c r="I15" s="1" t="s">
        <v>87</v>
      </c>
      <c r="J15" s="1" t="s">
        <v>87</v>
      </c>
    </row>
    <row r="16" spans="1:10" ht="15.75" customHeight="1">
      <c r="A16" s="1" t="s">
        <v>88</v>
      </c>
      <c r="B16" s="4">
        <v>45662</v>
      </c>
      <c r="C16" s="1" t="s">
        <v>70</v>
      </c>
      <c r="D16" s="1" t="s">
        <v>24</v>
      </c>
      <c r="E16" s="1" t="s">
        <v>38</v>
      </c>
      <c r="F16" s="1" t="s">
        <v>15</v>
      </c>
      <c r="G16" s="1" t="s">
        <v>17</v>
      </c>
      <c r="H16" s="1">
        <v>1</v>
      </c>
      <c r="I16" s="1" t="s">
        <v>89</v>
      </c>
      <c r="J16" s="1" t="s">
        <v>90</v>
      </c>
    </row>
    <row r="17" spans="1:10" ht="15.75" customHeight="1">
      <c r="A17" s="1" t="s">
        <v>91</v>
      </c>
      <c r="B17" s="4">
        <v>45662</v>
      </c>
      <c r="C17" s="1" t="s">
        <v>92</v>
      </c>
      <c r="D17" s="1" t="s">
        <v>13</v>
      </c>
      <c r="E17" s="1" t="s">
        <v>49</v>
      </c>
      <c r="F17" s="1" t="s">
        <v>50</v>
      </c>
      <c r="G17" s="1" t="s">
        <v>82</v>
      </c>
      <c r="H17" s="1">
        <v>1</v>
      </c>
      <c r="I17" s="1" t="s">
        <v>93</v>
      </c>
      <c r="J17" s="1" t="s">
        <v>93</v>
      </c>
    </row>
    <row r="18" spans="1:10" ht="15.75" customHeight="1">
      <c r="A18" s="1" t="s">
        <v>94</v>
      </c>
      <c r="B18" s="4">
        <v>45662</v>
      </c>
      <c r="C18" s="1" t="s">
        <v>79</v>
      </c>
      <c r="D18" s="1" t="s">
        <v>13</v>
      </c>
      <c r="E18" s="1" t="s">
        <v>96</v>
      </c>
      <c r="F18" s="1" t="s">
        <v>50</v>
      </c>
      <c r="G18" s="1" t="s">
        <v>39</v>
      </c>
      <c r="H18" s="1">
        <v>5</v>
      </c>
      <c r="I18" s="1" t="s">
        <v>97</v>
      </c>
      <c r="J18" s="1" t="s">
        <v>98</v>
      </c>
    </row>
    <row r="19" spans="1:10" ht="15.75" customHeight="1">
      <c r="A19" s="1" t="s">
        <v>99</v>
      </c>
      <c r="B19" s="4">
        <v>45662</v>
      </c>
      <c r="C19" s="1" t="s">
        <v>100</v>
      </c>
      <c r="D19" s="1" t="s">
        <v>13</v>
      </c>
      <c r="E19" s="1" t="s">
        <v>96</v>
      </c>
      <c r="F19" s="1" t="s">
        <v>50</v>
      </c>
      <c r="G19" s="1" t="s">
        <v>71</v>
      </c>
      <c r="H19" s="1">
        <v>50</v>
      </c>
      <c r="I19" s="1" t="s">
        <v>101</v>
      </c>
      <c r="J19" s="1" t="s">
        <v>102</v>
      </c>
    </row>
    <row r="20" spans="1:10" ht="15.75" customHeight="1">
      <c r="A20" s="1" t="s">
        <v>103</v>
      </c>
      <c r="B20" s="4">
        <v>45662</v>
      </c>
      <c r="C20" s="1" t="s">
        <v>46</v>
      </c>
      <c r="D20" s="1" t="s">
        <v>24</v>
      </c>
      <c r="E20" s="1" t="s">
        <v>49</v>
      </c>
      <c r="F20" s="1" t="s">
        <v>50</v>
      </c>
      <c r="G20" s="1" t="s">
        <v>39</v>
      </c>
      <c r="H20" s="1">
        <v>20</v>
      </c>
      <c r="I20" s="1" t="s">
        <v>104</v>
      </c>
      <c r="J20" s="6">
        <v>710064</v>
      </c>
    </row>
    <row r="21" spans="1:10" ht="15.75" customHeight="1">
      <c r="A21" s="1" t="s">
        <v>105</v>
      </c>
      <c r="B21" s="4">
        <v>45662</v>
      </c>
      <c r="C21" s="1" t="s">
        <v>106</v>
      </c>
      <c r="D21" s="1" t="s">
        <v>24</v>
      </c>
      <c r="E21" s="1" t="s">
        <v>107</v>
      </c>
      <c r="F21" s="1" t="s">
        <v>52</v>
      </c>
      <c r="G21" s="1" t="s">
        <v>17</v>
      </c>
      <c r="H21" s="1">
        <v>2</v>
      </c>
      <c r="I21" s="1" t="s">
        <v>109</v>
      </c>
      <c r="J21" s="1" t="s">
        <v>110</v>
      </c>
    </row>
    <row r="22" spans="1:10" ht="15.75" customHeight="1">
      <c r="A22" s="1" t="s">
        <v>111</v>
      </c>
      <c r="B22" s="4">
        <v>45663</v>
      </c>
      <c r="C22" s="1" t="s">
        <v>29</v>
      </c>
      <c r="D22" s="1" t="s">
        <v>13</v>
      </c>
      <c r="E22" s="1" t="s">
        <v>30</v>
      </c>
      <c r="F22" s="1" t="s">
        <v>31</v>
      </c>
      <c r="G22" s="1" t="s">
        <v>71</v>
      </c>
      <c r="H22" s="1">
        <v>1</v>
      </c>
      <c r="I22" s="1" t="s">
        <v>112</v>
      </c>
      <c r="J22" s="1" t="s">
        <v>113</v>
      </c>
    </row>
    <row r="23" spans="1:10" ht="15.75" customHeight="1">
      <c r="A23" s="1" t="s">
        <v>114</v>
      </c>
      <c r="B23" s="4">
        <v>45663</v>
      </c>
      <c r="C23" s="1" t="s">
        <v>57</v>
      </c>
      <c r="D23" s="1" t="s">
        <v>24</v>
      </c>
      <c r="E23" s="1" t="s">
        <v>67</v>
      </c>
      <c r="F23" s="1" t="s">
        <v>52</v>
      </c>
      <c r="G23" s="1" t="s">
        <v>71</v>
      </c>
      <c r="H23" s="1">
        <v>1</v>
      </c>
      <c r="I23" s="1" t="s">
        <v>115</v>
      </c>
      <c r="J23" s="1" t="s">
        <v>115</v>
      </c>
    </row>
    <row r="24" spans="1:10" ht="15.75" customHeight="1">
      <c r="A24" s="1" t="s">
        <v>116</v>
      </c>
      <c r="B24" s="4">
        <v>45663</v>
      </c>
      <c r="C24" s="1" t="s">
        <v>85</v>
      </c>
      <c r="D24" s="1" t="s">
        <v>117</v>
      </c>
      <c r="E24" s="1" t="s">
        <v>49</v>
      </c>
      <c r="F24" s="1" t="s">
        <v>50</v>
      </c>
      <c r="G24" s="1" t="s">
        <v>32</v>
      </c>
      <c r="H24" s="1">
        <v>5</v>
      </c>
      <c r="I24" s="1" t="s">
        <v>119</v>
      </c>
      <c r="J24" s="1" t="s">
        <v>120</v>
      </c>
    </row>
    <row r="25" spans="1:10" ht="15.75" customHeight="1">
      <c r="A25" s="1" t="s">
        <v>121</v>
      </c>
      <c r="B25" s="4">
        <v>45664</v>
      </c>
      <c r="C25" s="1" t="s">
        <v>122</v>
      </c>
      <c r="D25" s="1" t="s">
        <v>37</v>
      </c>
      <c r="E25" s="1" t="s">
        <v>30</v>
      </c>
      <c r="F25" s="1" t="s">
        <v>31</v>
      </c>
      <c r="G25" s="1" t="s">
        <v>17</v>
      </c>
      <c r="H25" s="1">
        <v>1</v>
      </c>
      <c r="I25" s="1" t="s">
        <v>123</v>
      </c>
      <c r="J25" s="1" t="s">
        <v>123</v>
      </c>
    </row>
    <row r="26" spans="1:10" ht="15.75" customHeight="1">
      <c r="A26" s="1" t="s">
        <v>124</v>
      </c>
      <c r="B26" s="4">
        <v>45664</v>
      </c>
      <c r="C26" s="1" t="s">
        <v>125</v>
      </c>
      <c r="D26" s="1" t="s">
        <v>117</v>
      </c>
      <c r="E26" s="1" t="s">
        <v>38</v>
      </c>
      <c r="F26" s="1" t="s">
        <v>15</v>
      </c>
      <c r="G26" s="1" t="s">
        <v>71</v>
      </c>
      <c r="H26" s="1">
        <v>5</v>
      </c>
      <c r="I26" s="1" t="s">
        <v>126</v>
      </c>
      <c r="J26" s="1" t="s">
        <v>127</v>
      </c>
    </row>
    <row r="27" spans="1:10" ht="15.75" customHeight="1">
      <c r="A27" s="1" t="s">
        <v>128</v>
      </c>
      <c r="B27" s="4">
        <v>45665</v>
      </c>
      <c r="C27" s="1" t="s">
        <v>46</v>
      </c>
      <c r="D27" s="1" t="s">
        <v>37</v>
      </c>
      <c r="E27" s="1" t="s">
        <v>25</v>
      </c>
      <c r="F27" s="1" t="s">
        <v>15</v>
      </c>
      <c r="G27" s="1" t="s">
        <v>82</v>
      </c>
      <c r="H27" s="1">
        <v>1</v>
      </c>
      <c r="I27" s="1" t="s">
        <v>129</v>
      </c>
      <c r="J27" s="1" t="s">
        <v>129</v>
      </c>
    </row>
    <row r="28" spans="1:10" ht="15.75" customHeight="1">
      <c r="A28" s="1" t="s">
        <v>130</v>
      </c>
      <c r="B28" s="4">
        <v>45666</v>
      </c>
      <c r="C28" s="1" t="s">
        <v>36</v>
      </c>
      <c r="D28" s="1" t="s">
        <v>58</v>
      </c>
      <c r="E28" s="1" t="s">
        <v>51</v>
      </c>
      <c r="F28" s="1" t="s">
        <v>52</v>
      </c>
      <c r="G28" s="1" t="s">
        <v>86</v>
      </c>
      <c r="H28" s="1">
        <v>1</v>
      </c>
      <c r="I28" s="1" t="s">
        <v>132</v>
      </c>
      <c r="J28" s="1" t="s">
        <v>133</v>
      </c>
    </row>
    <row r="29" spans="1:10" ht="15.75" customHeight="1">
      <c r="A29" s="1" t="s">
        <v>134</v>
      </c>
      <c r="B29" s="4">
        <v>45667</v>
      </c>
      <c r="C29" s="1" t="s">
        <v>135</v>
      </c>
      <c r="D29" s="1" t="s">
        <v>13</v>
      </c>
      <c r="E29" s="1" t="s">
        <v>107</v>
      </c>
      <c r="F29" s="1" t="s">
        <v>52</v>
      </c>
      <c r="G29" s="1" t="s">
        <v>71</v>
      </c>
      <c r="H29" s="1">
        <v>50</v>
      </c>
      <c r="I29" s="1" t="s">
        <v>136</v>
      </c>
      <c r="J29" s="1" t="s">
        <v>137</v>
      </c>
    </row>
    <row r="30" spans="1:10" ht="15.75" customHeight="1">
      <c r="A30" s="1" t="s">
        <v>138</v>
      </c>
      <c r="B30" s="4">
        <v>45667</v>
      </c>
      <c r="C30" s="1" t="s">
        <v>36</v>
      </c>
      <c r="D30" s="1" t="s">
        <v>58</v>
      </c>
      <c r="E30" s="1" t="s">
        <v>38</v>
      </c>
      <c r="F30" s="1" t="s">
        <v>15</v>
      </c>
      <c r="G30" s="1" t="s">
        <v>86</v>
      </c>
      <c r="H30" s="1">
        <v>1</v>
      </c>
      <c r="I30" s="1" t="s">
        <v>139</v>
      </c>
      <c r="J30" s="1" t="s">
        <v>140</v>
      </c>
    </row>
    <row r="31" spans="1:10" ht="15.75" customHeight="1">
      <c r="A31" s="1" t="s">
        <v>141</v>
      </c>
      <c r="B31" s="4">
        <v>45667</v>
      </c>
      <c r="C31" s="1" t="s">
        <v>142</v>
      </c>
      <c r="D31" s="1" t="s">
        <v>24</v>
      </c>
      <c r="E31" s="1" t="s">
        <v>14</v>
      </c>
      <c r="F31" s="1" t="s">
        <v>15</v>
      </c>
      <c r="G31" s="1" t="s">
        <v>17</v>
      </c>
      <c r="H31" s="1">
        <v>1</v>
      </c>
      <c r="I31" s="1" t="s">
        <v>144</v>
      </c>
      <c r="J31" s="1" t="s">
        <v>144</v>
      </c>
    </row>
    <row r="32" spans="1:10" ht="15.75" customHeight="1">
      <c r="A32" s="1" t="s">
        <v>145</v>
      </c>
      <c r="B32" s="4">
        <v>45667</v>
      </c>
      <c r="C32" s="1" t="s">
        <v>146</v>
      </c>
      <c r="D32" s="1" t="s">
        <v>24</v>
      </c>
      <c r="E32" s="1" t="s">
        <v>38</v>
      </c>
      <c r="F32" s="1" t="s">
        <v>15</v>
      </c>
      <c r="G32" s="1" t="s">
        <v>17</v>
      </c>
      <c r="H32" s="1">
        <v>1</v>
      </c>
      <c r="I32" s="1" t="s">
        <v>147</v>
      </c>
      <c r="J32" s="1" t="s">
        <v>148</v>
      </c>
    </row>
    <row r="33" spans="1:10" ht="15.75" customHeight="1">
      <c r="A33" s="1" t="s">
        <v>149</v>
      </c>
      <c r="B33" s="4">
        <v>45667</v>
      </c>
      <c r="C33" s="1" t="s">
        <v>12</v>
      </c>
      <c r="D33" s="1" t="s">
        <v>13</v>
      </c>
      <c r="E33" s="1" t="s">
        <v>62</v>
      </c>
      <c r="F33" s="1" t="s">
        <v>31</v>
      </c>
      <c r="G33" s="1" t="s">
        <v>39</v>
      </c>
      <c r="H33" s="1">
        <v>20</v>
      </c>
      <c r="I33" s="1" t="s">
        <v>150</v>
      </c>
      <c r="J33" s="1" t="s">
        <v>151</v>
      </c>
    </row>
    <row r="34" spans="1:10" ht="15.75" customHeight="1">
      <c r="A34" s="1" t="s">
        <v>152</v>
      </c>
      <c r="B34" s="4">
        <v>45667</v>
      </c>
      <c r="C34" s="1" t="s">
        <v>70</v>
      </c>
      <c r="D34" s="1" t="s">
        <v>13</v>
      </c>
      <c r="E34" s="1" t="s">
        <v>49</v>
      </c>
      <c r="F34" s="1" t="s">
        <v>50</v>
      </c>
      <c r="G34" s="1" t="s">
        <v>17</v>
      </c>
      <c r="H34" s="1">
        <v>1</v>
      </c>
      <c r="I34" s="1" t="s">
        <v>153</v>
      </c>
      <c r="J34" s="1" t="s">
        <v>153</v>
      </c>
    </row>
    <row r="35" spans="1:10" ht="15.75" customHeight="1">
      <c r="A35" s="1" t="s">
        <v>154</v>
      </c>
      <c r="B35" s="4">
        <v>45668</v>
      </c>
      <c r="C35" s="1" t="s">
        <v>135</v>
      </c>
      <c r="D35" s="1" t="s">
        <v>24</v>
      </c>
      <c r="E35" s="1" t="s">
        <v>62</v>
      </c>
      <c r="F35" s="1" t="s">
        <v>31</v>
      </c>
      <c r="G35" s="1" t="s">
        <v>39</v>
      </c>
      <c r="H35" s="1">
        <v>2</v>
      </c>
      <c r="I35" s="1" t="s">
        <v>156</v>
      </c>
      <c r="J35" s="1" t="s">
        <v>157</v>
      </c>
    </row>
    <row r="36" spans="1:10" ht="15.75" customHeight="1">
      <c r="A36" s="1" t="s">
        <v>158</v>
      </c>
      <c r="B36" s="4">
        <v>45668</v>
      </c>
      <c r="C36" s="1" t="s">
        <v>159</v>
      </c>
      <c r="D36" s="1" t="s">
        <v>24</v>
      </c>
      <c r="E36" s="1" t="s">
        <v>30</v>
      </c>
      <c r="F36" s="1" t="s">
        <v>31</v>
      </c>
      <c r="G36" s="1" t="s">
        <v>160</v>
      </c>
      <c r="H36" s="1">
        <v>1</v>
      </c>
      <c r="I36" s="1" t="s">
        <v>161</v>
      </c>
      <c r="J36" s="1" t="s">
        <v>161</v>
      </c>
    </row>
    <row r="37" spans="1:10" ht="15.75" customHeight="1">
      <c r="A37" s="1" t="s">
        <v>162</v>
      </c>
      <c r="B37" s="4">
        <v>45668</v>
      </c>
      <c r="C37" s="1" t="s">
        <v>100</v>
      </c>
      <c r="D37" s="1" t="s">
        <v>117</v>
      </c>
      <c r="E37" s="1" t="s">
        <v>163</v>
      </c>
      <c r="F37" s="1" t="s">
        <v>50</v>
      </c>
      <c r="G37" s="1" t="s">
        <v>86</v>
      </c>
      <c r="H37" s="1">
        <v>1</v>
      </c>
      <c r="I37" s="1" t="s">
        <v>164</v>
      </c>
      <c r="J37" s="1" t="s">
        <v>164</v>
      </c>
    </row>
    <row r="38" spans="1:10" ht="15.75" customHeight="1">
      <c r="A38" s="1" t="s">
        <v>165</v>
      </c>
      <c r="B38" s="4">
        <v>45668</v>
      </c>
      <c r="C38" s="1" t="s">
        <v>61</v>
      </c>
      <c r="D38" s="1" t="s">
        <v>117</v>
      </c>
      <c r="E38" s="1" t="s">
        <v>62</v>
      </c>
      <c r="F38" s="1" t="s">
        <v>31</v>
      </c>
      <c r="G38" s="1" t="s">
        <v>39</v>
      </c>
      <c r="H38" s="1">
        <v>1</v>
      </c>
      <c r="I38" s="1" t="s">
        <v>166</v>
      </c>
      <c r="J38" s="1" t="s">
        <v>166</v>
      </c>
    </row>
    <row r="39" spans="1:10" ht="15.75" customHeight="1">
      <c r="A39" s="1" t="s">
        <v>43</v>
      </c>
      <c r="B39" s="4">
        <v>45669</v>
      </c>
      <c r="C39" s="1" t="s">
        <v>47</v>
      </c>
      <c r="D39" s="1" t="s">
        <v>13</v>
      </c>
      <c r="E39" s="1" t="s">
        <v>51</v>
      </c>
      <c r="F39" s="1" t="s">
        <v>52</v>
      </c>
      <c r="G39" s="1" t="s">
        <v>32</v>
      </c>
      <c r="H39" s="1">
        <v>1</v>
      </c>
      <c r="I39" s="1" t="s">
        <v>56</v>
      </c>
      <c r="J39" s="1" t="s">
        <v>56</v>
      </c>
    </row>
    <row r="40" spans="1:10" ht="15.75" customHeight="1">
      <c r="A40" s="1" t="s">
        <v>168</v>
      </c>
      <c r="B40" s="4">
        <v>45669</v>
      </c>
      <c r="C40" s="1" t="s">
        <v>169</v>
      </c>
      <c r="D40" s="1" t="s">
        <v>24</v>
      </c>
      <c r="E40" s="1" t="s">
        <v>30</v>
      </c>
      <c r="F40" s="1" t="s">
        <v>31</v>
      </c>
      <c r="G40" s="1" t="s">
        <v>17</v>
      </c>
      <c r="H40" s="1">
        <v>1</v>
      </c>
      <c r="I40" s="1" t="s">
        <v>170</v>
      </c>
      <c r="J40" s="1" t="s">
        <v>170</v>
      </c>
    </row>
    <row r="41" spans="1:10" ht="15.75" customHeight="1">
      <c r="A41" s="1" t="s">
        <v>171</v>
      </c>
      <c r="B41" s="4">
        <v>45669</v>
      </c>
      <c r="C41" s="1" t="s">
        <v>122</v>
      </c>
      <c r="D41" s="1" t="s">
        <v>24</v>
      </c>
      <c r="E41" s="1" t="s">
        <v>107</v>
      </c>
      <c r="F41" s="1" t="s">
        <v>52</v>
      </c>
      <c r="G41" s="1" t="s">
        <v>17</v>
      </c>
      <c r="H41" s="1">
        <v>2</v>
      </c>
      <c r="I41" s="1" t="s">
        <v>172</v>
      </c>
      <c r="J41" s="1" t="s">
        <v>173</v>
      </c>
    </row>
    <row r="42" spans="1:10" ht="15.75" customHeight="1">
      <c r="A42" s="1" t="s">
        <v>174</v>
      </c>
      <c r="B42" s="4">
        <v>45669</v>
      </c>
      <c r="C42" s="1" t="s">
        <v>175</v>
      </c>
      <c r="D42" s="1" t="s">
        <v>117</v>
      </c>
      <c r="E42" s="1" t="s">
        <v>30</v>
      </c>
      <c r="F42" s="1" t="s">
        <v>31</v>
      </c>
      <c r="G42" s="1" t="s">
        <v>17</v>
      </c>
      <c r="H42" s="1">
        <v>1</v>
      </c>
      <c r="I42" s="1" t="s">
        <v>177</v>
      </c>
      <c r="J42" s="1" t="s">
        <v>177</v>
      </c>
    </row>
    <row r="43" spans="1:10" ht="15.75" customHeight="1">
      <c r="A43" s="1" t="s">
        <v>179</v>
      </c>
      <c r="B43" s="4">
        <v>45670</v>
      </c>
      <c r="C43" s="1" t="s">
        <v>46</v>
      </c>
      <c r="D43" s="1" t="s">
        <v>48</v>
      </c>
      <c r="E43" s="1" t="s">
        <v>30</v>
      </c>
      <c r="F43" s="1" t="s">
        <v>31</v>
      </c>
      <c r="G43" s="1" t="s">
        <v>71</v>
      </c>
      <c r="H43" s="1">
        <v>5</v>
      </c>
      <c r="I43" s="1" t="s">
        <v>180</v>
      </c>
      <c r="J43" s="6">
        <v>77919</v>
      </c>
    </row>
    <row r="44" spans="1:10" ht="15.75" customHeight="1">
      <c r="A44" s="1" t="s">
        <v>181</v>
      </c>
      <c r="B44" s="4">
        <v>45670</v>
      </c>
      <c r="C44" s="1" t="s">
        <v>182</v>
      </c>
      <c r="D44" s="1" t="s">
        <v>48</v>
      </c>
      <c r="E44" s="1" t="s">
        <v>62</v>
      </c>
      <c r="F44" s="1" t="s">
        <v>31</v>
      </c>
      <c r="G44" s="1" t="s">
        <v>39</v>
      </c>
      <c r="H44" s="1">
        <v>2</v>
      </c>
      <c r="I44" s="1" t="s">
        <v>183</v>
      </c>
      <c r="J44" s="1" t="s">
        <v>184</v>
      </c>
    </row>
    <row r="45" spans="1:10" ht="15.75" customHeight="1">
      <c r="A45" s="1" t="s">
        <v>185</v>
      </c>
      <c r="B45" s="4">
        <v>45670</v>
      </c>
      <c r="C45" s="1" t="s">
        <v>186</v>
      </c>
      <c r="D45" s="1" t="s">
        <v>24</v>
      </c>
      <c r="E45" s="1" t="s">
        <v>51</v>
      </c>
      <c r="F45" s="1" t="s">
        <v>52</v>
      </c>
      <c r="G45" s="1" t="s">
        <v>17</v>
      </c>
      <c r="H45" s="1">
        <v>5</v>
      </c>
      <c r="I45" s="1" t="s">
        <v>187</v>
      </c>
      <c r="J45" s="1" t="s">
        <v>188</v>
      </c>
    </row>
    <row r="46" spans="1:10" ht="15.75" customHeight="1">
      <c r="A46" s="1" t="s">
        <v>189</v>
      </c>
      <c r="B46" s="4">
        <v>45671</v>
      </c>
      <c r="C46" s="1" t="s">
        <v>159</v>
      </c>
      <c r="D46" s="1" t="s">
        <v>24</v>
      </c>
      <c r="E46" s="1" t="s">
        <v>67</v>
      </c>
      <c r="F46" s="1" t="s">
        <v>52</v>
      </c>
      <c r="G46" s="1" t="s">
        <v>71</v>
      </c>
      <c r="H46" s="1">
        <v>5</v>
      </c>
      <c r="I46" s="1" t="s">
        <v>190</v>
      </c>
      <c r="J46" s="1" t="s">
        <v>191</v>
      </c>
    </row>
    <row r="47" spans="1:10" ht="15.75" customHeight="1">
      <c r="A47" s="1" t="s">
        <v>192</v>
      </c>
      <c r="B47" s="4">
        <v>45671</v>
      </c>
      <c r="C47" s="1" t="s">
        <v>106</v>
      </c>
      <c r="D47" s="1" t="s">
        <v>13</v>
      </c>
      <c r="E47" s="1" t="s">
        <v>14</v>
      </c>
      <c r="F47" s="1" t="s">
        <v>15</v>
      </c>
      <c r="G47" s="1" t="s">
        <v>17</v>
      </c>
      <c r="H47" s="1">
        <v>1</v>
      </c>
      <c r="I47" s="1" t="s">
        <v>194</v>
      </c>
      <c r="J47" s="1" t="s">
        <v>194</v>
      </c>
    </row>
    <row r="48" spans="1:10" ht="15.75" customHeight="1">
      <c r="A48" s="1" t="s">
        <v>195</v>
      </c>
      <c r="B48" s="4">
        <v>45671</v>
      </c>
      <c r="C48" s="1" t="s">
        <v>196</v>
      </c>
      <c r="D48" s="1" t="s">
        <v>48</v>
      </c>
      <c r="E48" s="1" t="s">
        <v>62</v>
      </c>
      <c r="F48" s="1" t="s">
        <v>31</v>
      </c>
      <c r="G48" s="1" t="s">
        <v>39</v>
      </c>
      <c r="H48" s="1">
        <v>1</v>
      </c>
      <c r="I48" s="1" t="s">
        <v>197</v>
      </c>
      <c r="J48" s="1" t="s">
        <v>198</v>
      </c>
    </row>
    <row r="49" spans="1:10" ht="15.75" customHeight="1">
      <c r="A49" s="1" t="s">
        <v>199</v>
      </c>
      <c r="B49" s="4">
        <v>45671</v>
      </c>
      <c r="C49" s="1" t="s">
        <v>200</v>
      </c>
      <c r="D49" s="1" t="s">
        <v>24</v>
      </c>
      <c r="E49" s="1" t="s">
        <v>51</v>
      </c>
      <c r="F49" s="1" t="s">
        <v>52</v>
      </c>
      <c r="G49" s="1" t="s">
        <v>17</v>
      </c>
      <c r="H49" s="1">
        <v>2</v>
      </c>
      <c r="I49" s="1" t="s">
        <v>202</v>
      </c>
      <c r="J49" s="1" t="s">
        <v>203</v>
      </c>
    </row>
    <row r="50" spans="1:10" ht="15.75" customHeight="1">
      <c r="A50" s="1" t="s">
        <v>204</v>
      </c>
      <c r="B50" s="4">
        <v>45672</v>
      </c>
      <c r="C50" s="1" t="s">
        <v>142</v>
      </c>
      <c r="D50" s="1" t="s">
        <v>48</v>
      </c>
      <c r="E50" s="1" t="s">
        <v>178</v>
      </c>
      <c r="F50" s="1" t="s">
        <v>31</v>
      </c>
      <c r="G50" s="1" t="s">
        <v>205</v>
      </c>
      <c r="H50" s="1">
        <v>1</v>
      </c>
      <c r="I50" s="1" t="s">
        <v>206</v>
      </c>
      <c r="J50" s="1" t="s">
        <v>206</v>
      </c>
    </row>
    <row r="51" spans="1:10" ht="12.5">
      <c r="A51" s="1" t="s">
        <v>208</v>
      </c>
      <c r="B51" s="4">
        <v>45672</v>
      </c>
      <c r="C51" s="1" t="s">
        <v>209</v>
      </c>
      <c r="D51" s="1" t="s">
        <v>24</v>
      </c>
      <c r="E51" s="1" t="s">
        <v>210</v>
      </c>
      <c r="F51" s="1" t="s">
        <v>211</v>
      </c>
      <c r="G51" s="1" t="s">
        <v>209</v>
      </c>
      <c r="H51" s="1">
        <v>1</v>
      </c>
      <c r="I51" s="1" t="s">
        <v>212</v>
      </c>
      <c r="J51" s="1" t="s">
        <v>213</v>
      </c>
    </row>
    <row r="52" spans="1:10" ht="12.5">
      <c r="A52" s="1" t="s">
        <v>214</v>
      </c>
      <c r="B52" s="4">
        <v>45674</v>
      </c>
      <c r="C52" s="1" t="s">
        <v>215</v>
      </c>
      <c r="D52" s="1" t="s">
        <v>48</v>
      </c>
      <c r="E52" s="1" t="s">
        <v>49</v>
      </c>
      <c r="F52" s="1" t="s">
        <v>50</v>
      </c>
      <c r="G52" s="1" t="s">
        <v>17</v>
      </c>
      <c r="H52" s="1">
        <v>1</v>
      </c>
      <c r="I52" s="1" t="s">
        <v>217</v>
      </c>
      <c r="J52" s="1" t="s">
        <v>217</v>
      </c>
    </row>
    <row r="53" spans="1:10" ht="12.5">
      <c r="A53" s="1" t="s">
        <v>218</v>
      </c>
      <c r="B53" s="4">
        <v>45674</v>
      </c>
      <c r="C53" s="1" t="s">
        <v>36</v>
      </c>
      <c r="D53" s="1" t="s">
        <v>48</v>
      </c>
      <c r="E53" s="1" t="s">
        <v>178</v>
      </c>
      <c r="F53" s="1" t="s">
        <v>31</v>
      </c>
      <c r="G53" s="1" t="s">
        <v>71</v>
      </c>
      <c r="H53" s="1">
        <v>1</v>
      </c>
      <c r="I53" s="1" t="s">
        <v>219</v>
      </c>
      <c r="J53" s="1" t="s">
        <v>220</v>
      </c>
    </row>
    <row r="54" spans="1:10" ht="12.5">
      <c r="A54" s="1" t="s">
        <v>221</v>
      </c>
      <c r="B54" s="4">
        <v>45674</v>
      </c>
      <c r="C54" s="1" t="s">
        <v>222</v>
      </c>
      <c r="D54" s="1" t="s">
        <v>58</v>
      </c>
      <c r="E54" s="1" t="s">
        <v>30</v>
      </c>
      <c r="F54" s="1" t="s">
        <v>31</v>
      </c>
      <c r="G54" s="1" t="s">
        <v>32</v>
      </c>
      <c r="H54" s="1">
        <v>20</v>
      </c>
      <c r="I54" s="1" t="s">
        <v>224</v>
      </c>
      <c r="J54" s="1" t="s">
        <v>225</v>
      </c>
    </row>
    <row r="55" spans="1:10" ht="12.5">
      <c r="A55" s="1" t="s">
        <v>226</v>
      </c>
      <c r="B55" s="4">
        <v>45674</v>
      </c>
      <c r="C55" s="1" t="s">
        <v>125</v>
      </c>
      <c r="D55" s="1" t="s">
        <v>24</v>
      </c>
      <c r="E55" s="1" t="s">
        <v>178</v>
      </c>
      <c r="F55" s="1" t="s">
        <v>31</v>
      </c>
      <c r="G55" s="1" t="s">
        <v>17</v>
      </c>
      <c r="H55" s="1">
        <v>50</v>
      </c>
      <c r="I55" s="1" t="s">
        <v>227</v>
      </c>
      <c r="J55" s="1" t="s">
        <v>228</v>
      </c>
    </row>
    <row r="56" spans="1:10" ht="12.5">
      <c r="A56" s="1" t="s">
        <v>229</v>
      </c>
      <c r="B56" s="4">
        <v>45674</v>
      </c>
      <c r="C56" s="1" t="s">
        <v>200</v>
      </c>
      <c r="D56" s="1" t="s">
        <v>117</v>
      </c>
      <c r="E56" s="1" t="s">
        <v>62</v>
      </c>
      <c r="F56" s="1" t="s">
        <v>31</v>
      </c>
      <c r="G56" s="1" t="s">
        <v>230</v>
      </c>
      <c r="H56" s="1">
        <v>10</v>
      </c>
      <c r="I56" s="1" t="s">
        <v>231</v>
      </c>
      <c r="J56" s="1" t="s">
        <v>232</v>
      </c>
    </row>
    <row r="57" spans="1:10" ht="12.5">
      <c r="A57" s="1" t="s">
        <v>233</v>
      </c>
      <c r="B57" s="4">
        <v>45675</v>
      </c>
      <c r="C57" s="1" t="s">
        <v>186</v>
      </c>
      <c r="D57" s="1" t="s">
        <v>48</v>
      </c>
      <c r="E57" s="1" t="s">
        <v>38</v>
      </c>
      <c r="F57" s="1" t="s">
        <v>15</v>
      </c>
      <c r="G57" s="1" t="s">
        <v>71</v>
      </c>
      <c r="H57" s="1">
        <v>1</v>
      </c>
      <c r="I57" s="1" t="s">
        <v>234</v>
      </c>
      <c r="J57" s="1" t="s">
        <v>234</v>
      </c>
    </row>
    <row r="58" spans="1:10" ht="12.5">
      <c r="A58" s="1" t="s">
        <v>235</v>
      </c>
      <c r="B58" s="4">
        <v>45675</v>
      </c>
      <c r="C58" s="1" t="s">
        <v>42</v>
      </c>
      <c r="D58" s="1" t="s">
        <v>48</v>
      </c>
      <c r="E58" s="1" t="s">
        <v>178</v>
      </c>
      <c r="F58" s="1" t="s">
        <v>31</v>
      </c>
      <c r="G58" s="1" t="s">
        <v>17</v>
      </c>
      <c r="H58" s="1">
        <v>1</v>
      </c>
      <c r="I58" s="1" t="s">
        <v>236</v>
      </c>
      <c r="J58" s="1" t="s">
        <v>236</v>
      </c>
    </row>
    <row r="59" spans="1:10" ht="12.5">
      <c r="A59" s="1" t="s">
        <v>237</v>
      </c>
      <c r="B59" s="4">
        <v>45675</v>
      </c>
      <c r="C59" s="1" t="s">
        <v>135</v>
      </c>
      <c r="D59" s="1" t="s">
        <v>24</v>
      </c>
      <c r="E59" s="1" t="s">
        <v>49</v>
      </c>
      <c r="F59" s="1" t="s">
        <v>50</v>
      </c>
      <c r="G59" s="1" t="s">
        <v>17</v>
      </c>
      <c r="H59" s="1">
        <v>1</v>
      </c>
      <c r="I59" s="1" t="s">
        <v>238</v>
      </c>
      <c r="J59" s="1" t="s">
        <v>239</v>
      </c>
    </row>
    <row r="60" spans="1:10" ht="12.5">
      <c r="A60" s="1" t="s">
        <v>240</v>
      </c>
      <c r="B60" s="4">
        <v>45676</v>
      </c>
      <c r="C60" s="1" t="s">
        <v>222</v>
      </c>
      <c r="D60" s="1" t="s">
        <v>13</v>
      </c>
      <c r="E60" s="1" t="s">
        <v>96</v>
      </c>
      <c r="F60" s="1" t="s">
        <v>50</v>
      </c>
      <c r="G60" s="1" t="s">
        <v>17</v>
      </c>
      <c r="H60" s="1">
        <v>10</v>
      </c>
      <c r="I60" s="1" t="s">
        <v>241</v>
      </c>
      <c r="J60" s="1" t="s">
        <v>242</v>
      </c>
    </row>
    <row r="61" spans="1:10" ht="12.5">
      <c r="A61" s="1" t="s">
        <v>243</v>
      </c>
      <c r="B61" s="4">
        <v>45677</v>
      </c>
      <c r="C61" s="1" t="s">
        <v>66</v>
      </c>
      <c r="D61" s="1" t="s">
        <v>117</v>
      </c>
      <c r="E61" s="1" t="s">
        <v>51</v>
      </c>
      <c r="F61" s="1" t="s">
        <v>52</v>
      </c>
      <c r="G61" s="1" t="s">
        <v>32</v>
      </c>
      <c r="H61" s="1">
        <v>5</v>
      </c>
      <c r="I61" s="1" t="s">
        <v>244</v>
      </c>
      <c r="J61" s="1" t="s">
        <v>245</v>
      </c>
    </row>
    <row r="62" spans="1:10" ht="12.5">
      <c r="A62" s="1" t="s">
        <v>246</v>
      </c>
      <c r="B62" s="4">
        <v>45677</v>
      </c>
      <c r="C62" s="1" t="s">
        <v>106</v>
      </c>
      <c r="D62" s="1" t="s">
        <v>13</v>
      </c>
      <c r="E62" s="1" t="s">
        <v>163</v>
      </c>
      <c r="F62" s="1" t="s">
        <v>50</v>
      </c>
      <c r="G62" s="1" t="s">
        <v>32</v>
      </c>
      <c r="H62" s="1">
        <v>20</v>
      </c>
      <c r="I62" s="1" t="s">
        <v>247</v>
      </c>
      <c r="J62" s="1" t="s">
        <v>248</v>
      </c>
    </row>
    <row r="63" spans="1:10" ht="12.5">
      <c r="A63" s="1" t="s">
        <v>249</v>
      </c>
      <c r="B63" s="4">
        <v>45677</v>
      </c>
      <c r="C63" s="1" t="s">
        <v>250</v>
      </c>
      <c r="D63" s="1" t="s">
        <v>13</v>
      </c>
      <c r="E63" s="1" t="s">
        <v>62</v>
      </c>
      <c r="F63" s="1" t="s">
        <v>31</v>
      </c>
      <c r="G63" s="1" t="s">
        <v>32</v>
      </c>
      <c r="H63" s="1">
        <v>5</v>
      </c>
      <c r="I63" s="1" t="s">
        <v>251</v>
      </c>
      <c r="J63" s="1" t="s">
        <v>252</v>
      </c>
    </row>
    <row r="64" spans="1:10" ht="12.5">
      <c r="A64" s="1" t="s">
        <v>253</v>
      </c>
      <c r="B64" s="4">
        <v>45677</v>
      </c>
      <c r="C64" s="1" t="s">
        <v>146</v>
      </c>
      <c r="D64" s="1" t="s">
        <v>48</v>
      </c>
      <c r="E64" s="1" t="s">
        <v>30</v>
      </c>
      <c r="F64" s="1" t="s">
        <v>31</v>
      </c>
      <c r="G64" s="1" t="s">
        <v>160</v>
      </c>
      <c r="H64" s="1">
        <v>5</v>
      </c>
      <c r="I64" s="1" t="s">
        <v>254</v>
      </c>
      <c r="J64" s="1" t="s">
        <v>255</v>
      </c>
    </row>
    <row r="65" spans="1:10" ht="12.5">
      <c r="A65" s="1" t="s">
        <v>256</v>
      </c>
      <c r="B65" s="4">
        <v>45677</v>
      </c>
      <c r="C65" s="1" t="s">
        <v>92</v>
      </c>
      <c r="D65" s="1" t="s">
        <v>13</v>
      </c>
      <c r="E65" s="1" t="s">
        <v>25</v>
      </c>
      <c r="F65" s="1" t="s">
        <v>15</v>
      </c>
      <c r="G65" s="1" t="s">
        <v>32</v>
      </c>
      <c r="H65" s="1">
        <v>20</v>
      </c>
      <c r="I65" s="1" t="s">
        <v>257</v>
      </c>
      <c r="J65" s="1" t="s">
        <v>258</v>
      </c>
    </row>
    <row r="66" spans="1:10" ht="12.5">
      <c r="A66" s="1" t="s">
        <v>259</v>
      </c>
      <c r="B66" s="4">
        <v>45678</v>
      </c>
      <c r="C66" s="1" t="s">
        <v>79</v>
      </c>
      <c r="D66" s="1" t="s">
        <v>37</v>
      </c>
      <c r="E66" s="1" t="s">
        <v>14</v>
      </c>
      <c r="F66" s="1" t="s">
        <v>15</v>
      </c>
      <c r="G66" s="1" t="s">
        <v>32</v>
      </c>
      <c r="H66" s="1">
        <v>1</v>
      </c>
      <c r="I66" s="1" t="s">
        <v>260</v>
      </c>
      <c r="J66" s="1" t="s">
        <v>260</v>
      </c>
    </row>
    <row r="67" spans="1:10" ht="12.5">
      <c r="A67" s="1" t="s">
        <v>261</v>
      </c>
      <c r="B67" s="4">
        <v>45678</v>
      </c>
      <c r="C67" s="1" t="s">
        <v>262</v>
      </c>
      <c r="D67" s="1" t="s">
        <v>24</v>
      </c>
      <c r="E67" s="1" t="s">
        <v>51</v>
      </c>
      <c r="F67" s="1" t="s">
        <v>52</v>
      </c>
      <c r="G67" s="1" t="s">
        <v>71</v>
      </c>
      <c r="H67" s="1">
        <v>2</v>
      </c>
      <c r="I67" s="1" t="s">
        <v>264</v>
      </c>
      <c r="J67" s="1" t="s">
        <v>265</v>
      </c>
    </row>
    <row r="68" spans="1:10" ht="12.5">
      <c r="A68" s="1" t="s">
        <v>266</v>
      </c>
      <c r="B68" s="4">
        <v>45678</v>
      </c>
      <c r="C68" s="1" t="s">
        <v>23</v>
      </c>
      <c r="D68" s="1" t="s">
        <v>13</v>
      </c>
      <c r="E68" s="1" t="s">
        <v>51</v>
      </c>
      <c r="F68" s="1" t="s">
        <v>52</v>
      </c>
      <c r="G68" s="1" t="s">
        <v>17</v>
      </c>
      <c r="H68" s="1">
        <v>1</v>
      </c>
      <c r="I68" s="1" t="s">
        <v>267</v>
      </c>
      <c r="J68" s="1" t="s">
        <v>267</v>
      </c>
    </row>
    <row r="69" spans="1:10" ht="12.5">
      <c r="A69" s="1" t="s">
        <v>268</v>
      </c>
      <c r="B69" s="4">
        <v>45678</v>
      </c>
      <c r="C69" s="1" t="s">
        <v>169</v>
      </c>
      <c r="D69" s="1" t="s">
        <v>117</v>
      </c>
      <c r="E69" s="1" t="s">
        <v>30</v>
      </c>
      <c r="F69" s="1" t="s">
        <v>31</v>
      </c>
      <c r="G69" s="1" t="s">
        <v>86</v>
      </c>
      <c r="H69" s="1">
        <v>5</v>
      </c>
      <c r="I69" s="1" t="s">
        <v>269</v>
      </c>
      <c r="J69" s="1" t="s">
        <v>270</v>
      </c>
    </row>
    <row r="70" spans="1:10" ht="12.5">
      <c r="A70" s="1" t="s">
        <v>272</v>
      </c>
      <c r="B70" s="4">
        <v>45679</v>
      </c>
      <c r="C70" s="1" t="s">
        <v>70</v>
      </c>
      <c r="D70" s="1" t="s">
        <v>13</v>
      </c>
      <c r="E70" s="1" t="s">
        <v>107</v>
      </c>
      <c r="F70" s="1" t="s">
        <v>52</v>
      </c>
      <c r="G70" s="1" t="s">
        <v>39</v>
      </c>
      <c r="H70" s="1">
        <v>20</v>
      </c>
      <c r="I70" s="1" t="s">
        <v>273</v>
      </c>
      <c r="J70" s="1" t="s">
        <v>274</v>
      </c>
    </row>
    <row r="71" spans="1:10" ht="12.5">
      <c r="A71" s="1" t="s">
        <v>275</v>
      </c>
      <c r="B71" s="4">
        <v>45679</v>
      </c>
      <c r="C71" s="1" t="s">
        <v>175</v>
      </c>
      <c r="D71" s="1" t="s">
        <v>24</v>
      </c>
      <c r="E71" s="1" t="s">
        <v>62</v>
      </c>
      <c r="F71" s="1" t="s">
        <v>31</v>
      </c>
      <c r="G71" s="1" t="s">
        <v>71</v>
      </c>
      <c r="H71" s="1">
        <v>1</v>
      </c>
      <c r="I71" s="1" t="s">
        <v>276</v>
      </c>
      <c r="J71" s="1" t="s">
        <v>276</v>
      </c>
    </row>
    <row r="72" spans="1:10" ht="12.5">
      <c r="A72" s="1" t="s">
        <v>277</v>
      </c>
      <c r="B72" s="4">
        <v>45679</v>
      </c>
      <c r="C72" s="1" t="s">
        <v>122</v>
      </c>
      <c r="D72" s="1" t="s">
        <v>24</v>
      </c>
      <c r="E72" s="1" t="s">
        <v>38</v>
      </c>
      <c r="F72" s="1" t="s">
        <v>15</v>
      </c>
      <c r="G72" s="1" t="s">
        <v>32</v>
      </c>
      <c r="H72" s="1">
        <v>1</v>
      </c>
      <c r="I72" s="1" t="s">
        <v>278</v>
      </c>
      <c r="J72" s="1" t="s">
        <v>278</v>
      </c>
    </row>
    <row r="73" spans="1:10" ht="12.5">
      <c r="A73" s="1" t="s">
        <v>279</v>
      </c>
      <c r="B73" s="4">
        <v>45679</v>
      </c>
      <c r="C73" s="1" t="s">
        <v>222</v>
      </c>
      <c r="D73" s="1" t="s">
        <v>117</v>
      </c>
      <c r="E73" s="1" t="s">
        <v>49</v>
      </c>
      <c r="F73" s="1" t="s">
        <v>50</v>
      </c>
      <c r="G73" s="1" t="s">
        <v>17</v>
      </c>
      <c r="H73" s="1">
        <v>20</v>
      </c>
      <c r="I73" s="1" t="s">
        <v>280</v>
      </c>
      <c r="J73" s="1" t="s">
        <v>281</v>
      </c>
    </row>
    <row r="74" spans="1:10" ht="12.5">
      <c r="A74" s="1" t="s">
        <v>282</v>
      </c>
      <c r="B74" s="4">
        <v>45680</v>
      </c>
      <c r="C74" s="1" t="s">
        <v>85</v>
      </c>
      <c r="D74" s="1" t="s">
        <v>13</v>
      </c>
      <c r="E74" s="1" t="s">
        <v>14</v>
      </c>
      <c r="F74" s="1" t="s">
        <v>15</v>
      </c>
      <c r="G74" s="1" t="s">
        <v>32</v>
      </c>
      <c r="H74" s="1">
        <v>1</v>
      </c>
      <c r="I74" s="1" t="s">
        <v>283</v>
      </c>
      <c r="J74" s="1" t="s">
        <v>283</v>
      </c>
    </row>
    <row r="75" spans="1:10" ht="12.5">
      <c r="A75" s="1" t="s">
        <v>284</v>
      </c>
      <c r="B75" s="4">
        <v>45680</v>
      </c>
      <c r="C75" s="1" t="s">
        <v>106</v>
      </c>
      <c r="D75" s="1" t="s">
        <v>117</v>
      </c>
      <c r="E75" s="1" t="s">
        <v>178</v>
      </c>
      <c r="F75" s="1" t="s">
        <v>31</v>
      </c>
      <c r="G75" s="1" t="s">
        <v>230</v>
      </c>
      <c r="H75" s="1">
        <v>1</v>
      </c>
      <c r="I75" s="1" t="s">
        <v>285</v>
      </c>
      <c r="J75" s="1" t="s">
        <v>285</v>
      </c>
    </row>
    <row r="76" spans="1:10" ht="12.5">
      <c r="A76" s="1" t="s">
        <v>286</v>
      </c>
      <c r="B76" s="4">
        <v>45680</v>
      </c>
      <c r="C76" s="1" t="s">
        <v>42</v>
      </c>
      <c r="D76" s="1" t="s">
        <v>24</v>
      </c>
      <c r="E76" s="1" t="s">
        <v>51</v>
      </c>
      <c r="F76" s="1" t="s">
        <v>52</v>
      </c>
      <c r="G76" s="1" t="s">
        <v>86</v>
      </c>
      <c r="H76" s="1">
        <v>1</v>
      </c>
      <c r="I76" s="1" t="s">
        <v>287</v>
      </c>
      <c r="J76" s="1" t="s">
        <v>287</v>
      </c>
    </row>
    <row r="77" spans="1:10" ht="12.5">
      <c r="A77" s="1" t="s">
        <v>289</v>
      </c>
      <c r="B77" s="4">
        <v>45681</v>
      </c>
      <c r="C77" s="1" t="s">
        <v>250</v>
      </c>
      <c r="D77" s="1" t="s">
        <v>48</v>
      </c>
      <c r="E77" s="1" t="s">
        <v>30</v>
      </c>
      <c r="F77" s="1" t="s">
        <v>31</v>
      </c>
      <c r="G77" s="1" t="s">
        <v>32</v>
      </c>
      <c r="H77" s="1">
        <v>2</v>
      </c>
      <c r="I77" s="1" t="s">
        <v>291</v>
      </c>
      <c r="J77" s="1" t="s">
        <v>292</v>
      </c>
    </row>
    <row r="78" spans="1:10" ht="12.5">
      <c r="A78" s="1" t="s">
        <v>293</v>
      </c>
      <c r="B78" s="4">
        <v>45681</v>
      </c>
      <c r="C78" s="1" t="s">
        <v>29</v>
      </c>
      <c r="D78" s="1" t="s">
        <v>37</v>
      </c>
      <c r="E78" s="1" t="s">
        <v>178</v>
      </c>
      <c r="F78" s="1" t="s">
        <v>31</v>
      </c>
      <c r="G78" s="1" t="s">
        <v>39</v>
      </c>
      <c r="H78" s="1">
        <v>1</v>
      </c>
      <c r="I78" s="1" t="s">
        <v>296</v>
      </c>
      <c r="J78" s="1" t="s">
        <v>296</v>
      </c>
    </row>
    <row r="79" spans="1:10" ht="12.5">
      <c r="A79" s="1" t="s">
        <v>297</v>
      </c>
      <c r="B79" s="4">
        <v>45681</v>
      </c>
      <c r="C79" s="1" t="s">
        <v>122</v>
      </c>
      <c r="D79" s="1" t="s">
        <v>13</v>
      </c>
      <c r="E79" s="1" t="s">
        <v>163</v>
      </c>
      <c r="F79" s="1" t="s">
        <v>50</v>
      </c>
      <c r="G79" s="1" t="s">
        <v>86</v>
      </c>
      <c r="H79" s="1">
        <v>2</v>
      </c>
      <c r="I79" s="1" t="s">
        <v>298</v>
      </c>
      <c r="J79" s="1" t="s">
        <v>299</v>
      </c>
    </row>
    <row r="80" spans="1:10" ht="12.5">
      <c r="A80" s="1" t="s">
        <v>300</v>
      </c>
      <c r="B80" s="4">
        <v>45682</v>
      </c>
      <c r="C80" s="1" t="s">
        <v>106</v>
      </c>
      <c r="D80" s="1" t="s">
        <v>13</v>
      </c>
      <c r="E80" s="1" t="s">
        <v>107</v>
      </c>
      <c r="F80" s="1" t="s">
        <v>52</v>
      </c>
      <c r="G80" s="1" t="s">
        <v>17</v>
      </c>
      <c r="H80" s="1">
        <v>10</v>
      </c>
      <c r="I80" s="1" t="s">
        <v>301</v>
      </c>
      <c r="J80" s="1" t="s">
        <v>302</v>
      </c>
    </row>
    <row r="81" spans="1:10" ht="12.5">
      <c r="A81" s="1" t="s">
        <v>263</v>
      </c>
      <c r="B81" s="4">
        <v>45683</v>
      </c>
      <c r="C81" s="1" t="s">
        <v>36</v>
      </c>
      <c r="D81" s="1" t="s">
        <v>24</v>
      </c>
      <c r="E81" s="1" t="s">
        <v>62</v>
      </c>
      <c r="F81" s="1" t="s">
        <v>31</v>
      </c>
      <c r="G81" s="1" t="s">
        <v>82</v>
      </c>
      <c r="H81" s="1">
        <v>1</v>
      </c>
      <c r="I81" s="1" t="s">
        <v>271</v>
      </c>
      <c r="J81" s="1" t="s">
        <v>271</v>
      </c>
    </row>
    <row r="82" spans="1:10" ht="12.5">
      <c r="A82" s="1" t="s">
        <v>303</v>
      </c>
      <c r="B82" s="4">
        <v>45683</v>
      </c>
      <c r="C82" s="1" t="s">
        <v>36</v>
      </c>
      <c r="D82" s="1" t="s">
        <v>37</v>
      </c>
      <c r="E82" s="1" t="s">
        <v>178</v>
      </c>
      <c r="F82" s="1" t="s">
        <v>31</v>
      </c>
      <c r="G82" s="1" t="s">
        <v>71</v>
      </c>
      <c r="H82" s="1">
        <v>1</v>
      </c>
      <c r="I82" s="1" t="s">
        <v>304</v>
      </c>
      <c r="J82" s="1" t="s">
        <v>305</v>
      </c>
    </row>
    <row r="83" spans="1:10" ht="12.5">
      <c r="A83" s="1" t="s">
        <v>306</v>
      </c>
      <c r="B83" s="4">
        <v>45683</v>
      </c>
      <c r="C83" s="1" t="s">
        <v>307</v>
      </c>
      <c r="D83" s="1" t="s">
        <v>48</v>
      </c>
      <c r="E83" s="1" t="s">
        <v>30</v>
      </c>
      <c r="F83" s="1" t="s">
        <v>31</v>
      </c>
      <c r="G83" s="1" t="s">
        <v>71</v>
      </c>
      <c r="H83" s="1">
        <v>1</v>
      </c>
      <c r="I83" s="1" t="s">
        <v>308</v>
      </c>
      <c r="J83" s="1" t="s">
        <v>308</v>
      </c>
    </row>
    <row r="84" spans="1:10" ht="12.5">
      <c r="A84" s="1" t="s">
        <v>310</v>
      </c>
      <c r="B84" s="4">
        <v>45683</v>
      </c>
      <c r="C84" s="1" t="s">
        <v>250</v>
      </c>
      <c r="D84" s="1" t="s">
        <v>311</v>
      </c>
      <c r="E84" s="1" t="s">
        <v>38</v>
      </c>
      <c r="F84" s="1" t="s">
        <v>15</v>
      </c>
      <c r="G84" s="1" t="s">
        <v>71</v>
      </c>
      <c r="H84" s="1">
        <v>1</v>
      </c>
      <c r="I84" s="1" t="s">
        <v>312</v>
      </c>
      <c r="J84" s="1" t="s">
        <v>312</v>
      </c>
    </row>
    <row r="85" spans="1:10" ht="12.5">
      <c r="A85" s="1" t="s">
        <v>313</v>
      </c>
      <c r="B85" s="4">
        <v>45683</v>
      </c>
      <c r="C85" s="1" t="s">
        <v>315</v>
      </c>
      <c r="D85" s="1" t="s">
        <v>24</v>
      </c>
      <c r="E85" s="1" t="s">
        <v>51</v>
      </c>
      <c r="F85" s="1" t="s">
        <v>52</v>
      </c>
      <c r="G85" s="1" t="s">
        <v>230</v>
      </c>
      <c r="H85" s="1">
        <v>5</v>
      </c>
      <c r="I85" s="1" t="s">
        <v>316</v>
      </c>
      <c r="J85" s="1" t="s">
        <v>317</v>
      </c>
    </row>
    <row r="86" spans="1:10" ht="12.5">
      <c r="A86" s="1" t="s">
        <v>318</v>
      </c>
      <c r="B86" s="4">
        <v>45683</v>
      </c>
      <c r="C86" s="1" t="s">
        <v>135</v>
      </c>
      <c r="D86" s="1" t="s">
        <v>48</v>
      </c>
      <c r="E86" s="1" t="s">
        <v>62</v>
      </c>
      <c r="F86" s="1" t="s">
        <v>31</v>
      </c>
      <c r="G86" s="1" t="s">
        <v>39</v>
      </c>
      <c r="H86" s="1">
        <v>1</v>
      </c>
      <c r="I86" s="1" t="s">
        <v>321</v>
      </c>
      <c r="J86" s="1" t="s">
        <v>321</v>
      </c>
    </row>
    <row r="87" spans="1:10" ht="12.5">
      <c r="A87" s="1" t="s">
        <v>322</v>
      </c>
      <c r="B87" s="4">
        <v>45683</v>
      </c>
      <c r="C87" s="1" t="s">
        <v>186</v>
      </c>
      <c r="D87" s="1" t="s">
        <v>24</v>
      </c>
      <c r="E87" s="1" t="s">
        <v>163</v>
      </c>
      <c r="F87" s="1" t="s">
        <v>50</v>
      </c>
      <c r="G87" s="1" t="s">
        <v>205</v>
      </c>
      <c r="H87" s="1">
        <v>2</v>
      </c>
      <c r="I87" s="1" t="s">
        <v>323</v>
      </c>
      <c r="J87" s="1" t="s">
        <v>324</v>
      </c>
    </row>
    <row r="88" spans="1:10" ht="12.5">
      <c r="A88" s="1" t="s">
        <v>325</v>
      </c>
      <c r="B88" s="4">
        <v>45683</v>
      </c>
      <c r="C88" s="1" t="s">
        <v>326</v>
      </c>
      <c r="D88" s="1" t="s">
        <v>24</v>
      </c>
      <c r="E88" s="1" t="s">
        <v>67</v>
      </c>
      <c r="F88" s="1" t="s">
        <v>52</v>
      </c>
      <c r="G88" s="1" t="s">
        <v>71</v>
      </c>
      <c r="H88" s="1">
        <v>1</v>
      </c>
      <c r="I88" s="1" t="s">
        <v>327</v>
      </c>
      <c r="J88" s="1" t="s">
        <v>327</v>
      </c>
    </row>
    <row r="89" spans="1:10" ht="12.5">
      <c r="A89" s="1" t="s">
        <v>328</v>
      </c>
      <c r="B89" s="4">
        <v>45684</v>
      </c>
      <c r="C89" s="1" t="s">
        <v>329</v>
      </c>
      <c r="D89" s="1" t="s">
        <v>48</v>
      </c>
      <c r="E89" s="1" t="s">
        <v>38</v>
      </c>
      <c r="F89" s="1" t="s">
        <v>15</v>
      </c>
      <c r="G89" s="1" t="s">
        <v>71</v>
      </c>
      <c r="H89" s="1">
        <v>20</v>
      </c>
      <c r="I89" s="1" t="s">
        <v>330</v>
      </c>
      <c r="J89" s="6">
        <v>2864081</v>
      </c>
    </row>
    <row r="90" spans="1:10" ht="12.5">
      <c r="A90" s="1" t="s">
        <v>288</v>
      </c>
      <c r="B90" s="4">
        <v>45685</v>
      </c>
      <c r="C90" s="1" t="s">
        <v>290</v>
      </c>
      <c r="D90" s="1" t="s">
        <v>58</v>
      </c>
      <c r="E90" s="1" t="s">
        <v>67</v>
      </c>
      <c r="F90" s="1" t="s">
        <v>52</v>
      </c>
      <c r="G90" s="1" t="s">
        <v>39</v>
      </c>
      <c r="H90" s="1">
        <v>10</v>
      </c>
      <c r="I90" s="1" t="s">
        <v>294</v>
      </c>
      <c r="J90" s="1" t="s">
        <v>295</v>
      </c>
    </row>
    <row r="91" spans="1:10" ht="12.5">
      <c r="A91" s="1" t="s">
        <v>331</v>
      </c>
      <c r="B91" s="4">
        <v>45685</v>
      </c>
      <c r="C91" s="1" t="s">
        <v>36</v>
      </c>
      <c r="D91" s="1" t="s">
        <v>58</v>
      </c>
      <c r="E91" s="1" t="s">
        <v>14</v>
      </c>
      <c r="F91" s="1" t="s">
        <v>15</v>
      </c>
      <c r="G91" s="1" t="s">
        <v>71</v>
      </c>
      <c r="H91" s="1">
        <v>50</v>
      </c>
      <c r="I91" s="1" t="s">
        <v>333</v>
      </c>
      <c r="J91" s="1" t="s">
        <v>334</v>
      </c>
    </row>
    <row r="92" spans="1:10" ht="12.5">
      <c r="A92" s="1" t="s">
        <v>335</v>
      </c>
      <c r="B92" s="4">
        <v>45685</v>
      </c>
      <c r="C92" s="1" t="s">
        <v>61</v>
      </c>
      <c r="D92" s="1" t="s">
        <v>48</v>
      </c>
      <c r="E92" s="1" t="s">
        <v>62</v>
      </c>
      <c r="F92" s="1" t="s">
        <v>31</v>
      </c>
      <c r="G92" s="1" t="s">
        <v>17</v>
      </c>
      <c r="H92" s="1">
        <v>1</v>
      </c>
      <c r="I92" s="1" t="s">
        <v>337</v>
      </c>
      <c r="J92" s="1" t="s">
        <v>337</v>
      </c>
    </row>
    <row r="93" spans="1:10" ht="12.5">
      <c r="A93" s="1" t="s">
        <v>338</v>
      </c>
      <c r="B93" s="4">
        <v>45686</v>
      </c>
      <c r="C93" s="1" t="s">
        <v>186</v>
      </c>
      <c r="D93" s="1" t="s">
        <v>13</v>
      </c>
      <c r="E93" s="1" t="s">
        <v>67</v>
      </c>
      <c r="F93" s="1" t="s">
        <v>52</v>
      </c>
      <c r="G93" s="1" t="s">
        <v>17</v>
      </c>
      <c r="H93" s="1">
        <v>5</v>
      </c>
      <c r="I93" s="1" t="s">
        <v>339</v>
      </c>
      <c r="J93" s="1" t="s">
        <v>340</v>
      </c>
    </row>
    <row r="94" spans="1:10" ht="12.5">
      <c r="A94" s="1" t="s">
        <v>341</v>
      </c>
      <c r="B94" s="4">
        <v>45686</v>
      </c>
      <c r="C94" s="1" t="s">
        <v>85</v>
      </c>
      <c r="D94" s="1" t="s">
        <v>48</v>
      </c>
      <c r="E94" s="1" t="s">
        <v>96</v>
      </c>
      <c r="F94" s="1" t="s">
        <v>50</v>
      </c>
      <c r="G94" s="1" t="s">
        <v>17</v>
      </c>
      <c r="H94" s="1">
        <v>1</v>
      </c>
      <c r="I94" s="1" t="s">
        <v>342</v>
      </c>
      <c r="J94" s="1" t="s">
        <v>342</v>
      </c>
    </row>
    <row r="95" spans="1:10" ht="12.5">
      <c r="A95" s="1" t="s">
        <v>343</v>
      </c>
      <c r="B95" s="4">
        <v>45686</v>
      </c>
      <c r="C95" s="1" t="s">
        <v>23</v>
      </c>
      <c r="D95" s="1" t="s">
        <v>13</v>
      </c>
      <c r="E95" s="1" t="s">
        <v>67</v>
      </c>
      <c r="F95" s="1" t="s">
        <v>52</v>
      </c>
      <c r="G95" s="1" t="s">
        <v>39</v>
      </c>
      <c r="H95" s="1">
        <v>1</v>
      </c>
      <c r="I95" s="1" t="s">
        <v>344</v>
      </c>
      <c r="J95" s="1" t="s">
        <v>344</v>
      </c>
    </row>
    <row r="96" spans="1:10" ht="12.5">
      <c r="A96" s="1" t="s">
        <v>345</v>
      </c>
      <c r="B96" s="4">
        <v>45687</v>
      </c>
      <c r="C96" s="1" t="s">
        <v>329</v>
      </c>
      <c r="D96" s="1" t="s">
        <v>37</v>
      </c>
      <c r="E96" s="1" t="s">
        <v>67</v>
      </c>
      <c r="F96" s="1" t="s">
        <v>52</v>
      </c>
      <c r="G96" s="1" t="s">
        <v>205</v>
      </c>
      <c r="H96" s="1">
        <v>1</v>
      </c>
      <c r="I96" s="1" t="s">
        <v>346</v>
      </c>
      <c r="J96" s="1" t="s">
        <v>347</v>
      </c>
    </row>
    <row r="97" spans="1:10" ht="12.5">
      <c r="A97" s="1" t="s">
        <v>348</v>
      </c>
      <c r="B97" s="4">
        <v>45687</v>
      </c>
      <c r="C97" s="1" t="s">
        <v>262</v>
      </c>
      <c r="D97" s="1" t="s">
        <v>58</v>
      </c>
      <c r="E97" s="1" t="s">
        <v>38</v>
      </c>
      <c r="F97" s="1" t="s">
        <v>15</v>
      </c>
      <c r="G97" s="1" t="s">
        <v>71</v>
      </c>
      <c r="H97" s="1">
        <v>2</v>
      </c>
      <c r="I97" s="1" t="s">
        <v>349</v>
      </c>
      <c r="J97" s="1" t="s">
        <v>350</v>
      </c>
    </row>
    <row r="98" spans="1:10" ht="12.5">
      <c r="A98" s="1" t="s">
        <v>351</v>
      </c>
      <c r="B98" s="4">
        <v>45687</v>
      </c>
      <c r="C98" s="1" t="s">
        <v>250</v>
      </c>
      <c r="D98" s="1" t="s">
        <v>37</v>
      </c>
      <c r="E98" s="1" t="s">
        <v>51</v>
      </c>
      <c r="F98" s="1" t="s">
        <v>52</v>
      </c>
      <c r="G98" s="1" t="s">
        <v>71</v>
      </c>
      <c r="H98" s="1">
        <v>2</v>
      </c>
      <c r="I98" s="1" t="s">
        <v>352</v>
      </c>
      <c r="J98" s="1" t="s">
        <v>353</v>
      </c>
    </row>
    <row r="99" spans="1:10" ht="12.5">
      <c r="A99" s="1" t="s">
        <v>354</v>
      </c>
      <c r="B99" s="4">
        <v>45687</v>
      </c>
      <c r="C99" s="1" t="s">
        <v>326</v>
      </c>
      <c r="D99" s="1" t="s">
        <v>58</v>
      </c>
      <c r="E99" s="1" t="s">
        <v>30</v>
      </c>
      <c r="F99" s="1" t="s">
        <v>31</v>
      </c>
      <c r="G99" s="1" t="s">
        <v>39</v>
      </c>
      <c r="H99" s="1">
        <v>20</v>
      </c>
      <c r="I99" s="1" t="s">
        <v>355</v>
      </c>
      <c r="J99" s="1" t="s">
        <v>356</v>
      </c>
    </row>
    <row r="100" spans="1:10" ht="12.5">
      <c r="A100" s="1" t="s">
        <v>357</v>
      </c>
      <c r="B100" s="4">
        <v>45688</v>
      </c>
      <c r="C100" s="1" t="s">
        <v>79</v>
      </c>
      <c r="D100" s="1" t="s">
        <v>13</v>
      </c>
      <c r="E100" s="1" t="s">
        <v>30</v>
      </c>
      <c r="F100" s="1" t="s">
        <v>31</v>
      </c>
      <c r="G100" s="1" t="s">
        <v>160</v>
      </c>
      <c r="H100" s="1">
        <v>2</v>
      </c>
      <c r="I100" s="1" t="s">
        <v>358</v>
      </c>
      <c r="J100" s="1" t="s">
        <v>359</v>
      </c>
    </row>
    <row r="101" spans="1:10" ht="12.5">
      <c r="A101" s="1" t="s">
        <v>360</v>
      </c>
      <c r="B101" s="4">
        <v>45689</v>
      </c>
      <c r="C101" s="1" t="s">
        <v>47</v>
      </c>
      <c r="D101" s="1" t="s">
        <v>117</v>
      </c>
      <c r="E101" s="1" t="s">
        <v>67</v>
      </c>
      <c r="F101" s="1" t="s">
        <v>52</v>
      </c>
      <c r="G101" s="1" t="s">
        <v>39</v>
      </c>
      <c r="H101" s="1">
        <v>1</v>
      </c>
      <c r="I101" s="1" t="s">
        <v>361</v>
      </c>
      <c r="J101" s="1" t="s">
        <v>361</v>
      </c>
    </row>
    <row r="102" spans="1:10" ht="12.5">
      <c r="A102" s="1" t="s">
        <v>362</v>
      </c>
      <c r="B102" s="4">
        <v>45689</v>
      </c>
      <c r="C102" s="1" t="s">
        <v>159</v>
      </c>
      <c r="D102" s="1" t="s">
        <v>37</v>
      </c>
      <c r="E102" s="1" t="s">
        <v>30</v>
      </c>
      <c r="F102" s="1" t="s">
        <v>31</v>
      </c>
      <c r="G102" s="1" t="s">
        <v>205</v>
      </c>
      <c r="H102" s="1">
        <v>10</v>
      </c>
      <c r="I102" s="1" t="s">
        <v>363</v>
      </c>
      <c r="J102" s="6" t="s">
        <v>364</v>
      </c>
    </row>
    <row r="103" spans="1:10" ht="12.5">
      <c r="A103" s="1" t="s">
        <v>365</v>
      </c>
      <c r="B103" s="4">
        <v>45689</v>
      </c>
      <c r="C103" s="1" t="s">
        <v>290</v>
      </c>
      <c r="D103" s="1" t="s">
        <v>24</v>
      </c>
      <c r="E103" s="1" t="s">
        <v>67</v>
      </c>
      <c r="F103" s="1" t="s">
        <v>52</v>
      </c>
      <c r="G103" s="1" t="s">
        <v>71</v>
      </c>
      <c r="H103" s="1">
        <v>1</v>
      </c>
      <c r="I103" s="1" t="s">
        <v>366</v>
      </c>
      <c r="J103" s="1" t="s">
        <v>367</v>
      </c>
    </row>
    <row r="104" spans="1:10" ht="12.5">
      <c r="A104" s="1" t="s">
        <v>368</v>
      </c>
      <c r="B104" s="4">
        <v>45690</v>
      </c>
      <c r="C104" s="1" t="s">
        <v>47</v>
      </c>
      <c r="D104" s="1" t="s">
        <v>13</v>
      </c>
      <c r="E104" s="1" t="s">
        <v>163</v>
      </c>
      <c r="F104" s="1" t="s">
        <v>50</v>
      </c>
      <c r="G104" s="1" t="s">
        <v>39</v>
      </c>
      <c r="H104" s="1">
        <v>5</v>
      </c>
      <c r="I104" s="1" t="s">
        <v>369</v>
      </c>
      <c r="J104" s="1" t="s">
        <v>370</v>
      </c>
    </row>
    <row r="105" spans="1:10" ht="12.5">
      <c r="A105" s="1" t="s">
        <v>371</v>
      </c>
      <c r="B105" s="4">
        <v>45690</v>
      </c>
      <c r="C105" s="1" t="s">
        <v>47</v>
      </c>
      <c r="D105" s="1" t="s">
        <v>13</v>
      </c>
      <c r="E105" s="1" t="s">
        <v>96</v>
      </c>
      <c r="F105" s="1" t="s">
        <v>50</v>
      </c>
      <c r="G105" s="1" t="s">
        <v>17</v>
      </c>
      <c r="H105" s="1">
        <v>1</v>
      </c>
      <c r="I105" s="1" t="s">
        <v>372</v>
      </c>
      <c r="J105" s="1" t="s">
        <v>373</v>
      </c>
    </row>
    <row r="106" spans="1:10" ht="12.5">
      <c r="A106" s="1" t="s">
        <v>374</v>
      </c>
      <c r="B106" s="4">
        <v>45690</v>
      </c>
      <c r="C106" s="1" t="s">
        <v>262</v>
      </c>
      <c r="D106" s="1" t="s">
        <v>48</v>
      </c>
      <c r="E106" s="1" t="s">
        <v>96</v>
      </c>
      <c r="F106" s="1" t="s">
        <v>50</v>
      </c>
      <c r="G106" s="1" t="s">
        <v>71</v>
      </c>
      <c r="H106" s="1">
        <v>5</v>
      </c>
      <c r="I106" s="1" t="s">
        <v>375</v>
      </c>
      <c r="J106" s="1" t="s">
        <v>376</v>
      </c>
    </row>
    <row r="107" spans="1:10" ht="12.5">
      <c r="A107" s="1" t="s">
        <v>377</v>
      </c>
      <c r="B107" s="4">
        <v>45691</v>
      </c>
      <c r="C107" s="1" t="s">
        <v>215</v>
      </c>
      <c r="D107" s="1" t="s">
        <v>24</v>
      </c>
      <c r="E107" s="1" t="s">
        <v>62</v>
      </c>
      <c r="F107" s="1" t="s">
        <v>31</v>
      </c>
      <c r="G107" s="1" t="s">
        <v>39</v>
      </c>
      <c r="H107" s="1">
        <v>2</v>
      </c>
      <c r="I107" s="1" t="s">
        <v>378</v>
      </c>
      <c r="J107" s="1" t="s">
        <v>379</v>
      </c>
    </row>
    <row r="108" spans="1:10" ht="12.5">
      <c r="A108" s="1" t="s">
        <v>380</v>
      </c>
      <c r="B108" s="4">
        <v>45691</v>
      </c>
      <c r="C108" s="1" t="s">
        <v>70</v>
      </c>
      <c r="D108" s="1" t="s">
        <v>58</v>
      </c>
      <c r="E108" s="1" t="s">
        <v>178</v>
      </c>
      <c r="F108" s="1" t="s">
        <v>31</v>
      </c>
      <c r="G108" s="1" t="s">
        <v>17</v>
      </c>
      <c r="H108" s="1">
        <v>1</v>
      </c>
      <c r="I108" s="1" t="s">
        <v>381</v>
      </c>
      <c r="J108" s="1" t="s">
        <v>381</v>
      </c>
    </row>
    <row r="109" spans="1:10" ht="12.5">
      <c r="A109" s="1" t="s">
        <v>382</v>
      </c>
      <c r="B109" s="4">
        <v>45692</v>
      </c>
      <c r="C109" s="1" t="s">
        <v>215</v>
      </c>
      <c r="D109" s="1" t="s">
        <v>48</v>
      </c>
      <c r="E109" s="1" t="s">
        <v>96</v>
      </c>
      <c r="F109" s="1" t="s">
        <v>50</v>
      </c>
      <c r="G109" s="1" t="s">
        <v>17</v>
      </c>
      <c r="H109" s="1">
        <v>5</v>
      </c>
      <c r="I109" s="1" t="s">
        <v>383</v>
      </c>
      <c r="J109" s="1" t="s">
        <v>384</v>
      </c>
    </row>
    <row r="110" spans="1:10" ht="12.5">
      <c r="A110" s="1" t="s">
        <v>385</v>
      </c>
      <c r="B110" s="4">
        <v>45692</v>
      </c>
      <c r="C110" s="1" t="s">
        <v>79</v>
      </c>
      <c r="D110" s="1" t="s">
        <v>48</v>
      </c>
      <c r="E110" s="1" t="s">
        <v>178</v>
      </c>
      <c r="F110" s="1" t="s">
        <v>31</v>
      </c>
      <c r="G110" s="1" t="s">
        <v>32</v>
      </c>
      <c r="H110" s="1">
        <v>5</v>
      </c>
      <c r="I110" s="1" t="s">
        <v>386</v>
      </c>
      <c r="J110" s="6">
        <v>93686</v>
      </c>
    </row>
    <row r="111" spans="1:10" ht="12.5">
      <c r="A111" s="1" t="s">
        <v>387</v>
      </c>
      <c r="B111" s="4">
        <v>45693</v>
      </c>
      <c r="C111" s="1" t="s">
        <v>92</v>
      </c>
      <c r="D111" s="1" t="s">
        <v>24</v>
      </c>
      <c r="E111" s="1" t="s">
        <v>14</v>
      </c>
      <c r="F111" s="1" t="s">
        <v>15</v>
      </c>
      <c r="G111" s="1" t="s">
        <v>39</v>
      </c>
      <c r="H111" s="1">
        <v>5</v>
      </c>
      <c r="I111" s="1" t="s">
        <v>388</v>
      </c>
      <c r="J111" s="1" t="s">
        <v>389</v>
      </c>
    </row>
    <row r="112" spans="1:10" ht="12.5">
      <c r="A112" s="1" t="s">
        <v>390</v>
      </c>
      <c r="B112" s="4">
        <v>45693</v>
      </c>
      <c r="C112" s="1" t="s">
        <v>46</v>
      </c>
      <c r="D112" s="1" t="s">
        <v>24</v>
      </c>
      <c r="E112" s="1" t="s">
        <v>14</v>
      </c>
      <c r="F112" s="1" t="s">
        <v>15</v>
      </c>
      <c r="G112" s="1" t="s">
        <v>17</v>
      </c>
      <c r="H112" s="1">
        <v>5</v>
      </c>
      <c r="I112" s="1" t="s">
        <v>391</v>
      </c>
      <c r="J112" s="1" t="s">
        <v>392</v>
      </c>
    </row>
    <row r="113" spans="1:10" ht="12.5">
      <c r="A113" s="1" t="s">
        <v>393</v>
      </c>
      <c r="B113" s="4">
        <v>45694</v>
      </c>
      <c r="C113" s="1" t="s">
        <v>290</v>
      </c>
      <c r="D113" s="1" t="s">
        <v>13</v>
      </c>
      <c r="E113" s="1" t="s">
        <v>163</v>
      </c>
      <c r="F113" s="1" t="s">
        <v>50</v>
      </c>
      <c r="G113" s="1" t="s">
        <v>71</v>
      </c>
      <c r="H113" s="1">
        <v>1</v>
      </c>
      <c r="I113" s="1" t="s">
        <v>394</v>
      </c>
      <c r="J113" s="1" t="s">
        <v>394</v>
      </c>
    </row>
    <row r="114" spans="1:10" ht="12.5">
      <c r="A114" s="1" t="s">
        <v>395</v>
      </c>
      <c r="B114" s="4">
        <v>45695</v>
      </c>
      <c r="C114" s="1" t="s">
        <v>100</v>
      </c>
      <c r="D114" s="1" t="s">
        <v>24</v>
      </c>
      <c r="E114" s="1" t="s">
        <v>14</v>
      </c>
      <c r="F114" s="1" t="s">
        <v>15</v>
      </c>
      <c r="G114" s="1" t="s">
        <v>230</v>
      </c>
      <c r="H114" s="1">
        <v>1</v>
      </c>
      <c r="I114" s="1" t="s">
        <v>396</v>
      </c>
      <c r="J114" s="1" t="s">
        <v>396</v>
      </c>
    </row>
    <row r="115" spans="1:10" ht="12.5">
      <c r="A115" s="1" t="s">
        <v>398</v>
      </c>
      <c r="B115" s="4">
        <v>45695</v>
      </c>
      <c r="C115" s="1" t="s">
        <v>222</v>
      </c>
      <c r="D115" s="1" t="s">
        <v>13</v>
      </c>
      <c r="E115" s="1" t="s">
        <v>51</v>
      </c>
      <c r="F115" s="1" t="s">
        <v>52</v>
      </c>
      <c r="G115" s="1" t="s">
        <v>71</v>
      </c>
      <c r="H115" s="1">
        <v>1</v>
      </c>
      <c r="I115" s="1" t="s">
        <v>399</v>
      </c>
      <c r="J115" s="1" t="s">
        <v>400</v>
      </c>
    </row>
    <row r="116" spans="1:10" ht="12.5">
      <c r="A116" s="1" t="s">
        <v>398</v>
      </c>
      <c r="B116" s="4">
        <v>45695</v>
      </c>
      <c r="C116" s="1" t="s">
        <v>222</v>
      </c>
      <c r="D116" s="1" t="s">
        <v>13</v>
      </c>
      <c r="E116" s="1" t="s">
        <v>51</v>
      </c>
      <c r="F116" s="1" t="s">
        <v>52</v>
      </c>
      <c r="G116" s="1" t="s">
        <v>71</v>
      </c>
      <c r="H116" s="1">
        <v>1</v>
      </c>
      <c r="I116" s="1" t="s">
        <v>399</v>
      </c>
      <c r="J116" s="1" t="s">
        <v>400</v>
      </c>
    </row>
    <row r="117" spans="1:10" ht="12.5">
      <c r="A117" s="1" t="s">
        <v>403</v>
      </c>
      <c r="B117" s="4">
        <v>45696</v>
      </c>
      <c r="C117" s="1" t="s">
        <v>169</v>
      </c>
      <c r="D117" s="1" t="s">
        <v>13</v>
      </c>
      <c r="E117" s="1" t="s">
        <v>107</v>
      </c>
      <c r="F117" s="1" t="s">
        <v>52</v>
      </c>
      <c r="G117" s="1" t="s">
        <v>71</v>
      </c>
      <c r="H117" s="1">
        <v>2</v>
      </c>
      <c r="I117" s="1" t="s">
        <v>404</v>
      </c>
      <c r="J117" s="1" t="s">
        <v>405</v>
      </c>
    </row>
    <row r="118" spans="1:10" ht="12.5">
      <c r="A118" s="1" t="s">
        <v>406</v>
      </c>
      <c r="B118" s="4">
        <v>45696</v>
      </c>
      <c r="C118" s="1" t="s">
        <v>135</v>
      </c>
      <c r="D118" s="1" t="s">
        <v>13</v>
      </c>
      <c r="E118" s="1" t="s">
        <v>38</v>
      </c>
      <c r="F118" s="1" t="s">
        <v>15</v>
      </c>
      <c r="G118" s="1" t="s">
        <v>71</v>
      </c>
      <c r="H118" s="1">
        <v>1</v>
      </c>
      <c r="I118" s="1" t="s">
        <v>407</v>
      </c>
      <c r="J118" s="1" t="s">
        <v>407</v>
      </c>
    </row>
    <row r="119" spans="1:10" ht="12.5">
      <c r="A119" s="1" t="s">
        <v>409</v>
      </c>
      <c r="B119" s="4">
        <v>45696</v>
      </c>
      <c r="C119" s="1" t="s">
        <v>57</v>
      </c>
      <c r="D119" s="1" t="s">
        <v>24</v>
      </c>
      <c r="E119" s="1" t="s">
        <v>51</v>
      </c>
      <c r="F119" s="1" t="s">
        <v>52</v>
      </c>
      <c r="G119" s="1" t="s">
        <v>39</v>
      </c>
      <c r="H119" s="1">
        <v>1</v>
      </c>
      <c r="I119" s="1" t="s">
        <v>411</v>
      </c>
      <c r="J119" s="1" t="s">
        <v>412</v>
      </c>
    </row>
    <row r="120" spans="1:10" ht="12.5">
      <c r="A120" s="1" t="s">
        <v>413</v>
      </c>
      <c r="B120" s="4">
        <v>45696</v>
      </c>
      <c r="C120" s="1" t="s">
        <v>57</v>
      </c>
      <c r="D120" s="1" t="s">
        <v>24</v>
      </c>
      <c r="E120" s="1" t="s">
        <v>62</v>
      </c>
      <c r="F120" s="1" t="s">
        <v>31</v>
      </c>
      <c r="G120" s="1" t="s">
        <v>230</v>
      </c>
      <c r="H120" s="1">
        <v>20</v>
      </c>
      <c r="I120" s="1" t="s">
        <v>414</v>
      </c>
      <c r="J120" s="6">
        <v>973160</v>
      </c>
    </row>
    <row r="121" spans="1:10" ht="12.5">
      <c r="A121" s="1" t="s">
        <v>415</v>
      </c>
      <c r="B121" s="4">
        <v>45696</v>
      </c>
      <c r="C121" s="1" t="s">
        <v>79</v>
      </c>
      <c r="D121" s="1" t="s">
        <v>37</v>
      </c>
      <c r="E121" s="1" t="s">
        <v>51</v>
      </c>
      <c r="F121" s="1" t="s">
        <v>52</v>
      </c>
      <c r="G121" s="1" t="s">
        <v>39</v>
      </c>
      <c r="H121" s="1">
        <v>20</v>
      </c>
      <c r="I121" s="1" t="s">
        <v>416</v>
      </c>
      <c r="J121" s="1" t="s">
        <v>417</v>
      </c>
    </row>
    <row r="122" spans="1:10" ht="12.5">
      <c r="A122" s="1" t="s">
        <v>418</v>
      </c>
      <c r="B122" s="4">
        <v>45697</v>
      </c>
      <c r="C122" s="1" t="s">
        <v>182</v>
      </c>
      <c r="D122" s="1" t="s">
        <v>58</v>
      </c>
      <c r="E122" s="1" t="s">
        <v>178</v>
      </c>
      <c r="F122" s="1" t="s">
        <v>31</v>
      </c>
      <c r="G122" s="1" t="s">
        <v>71</v>
      </c>
      <c r="H122" s="1">
        <v>10</v>
      </c>
      <c r="I122" s="22" t="s">
        <v>419</v>
      </c>
      <c r="J122" s="1" t="s">
        <v>420</v>
      </c>
    </row>
    <row r="123" spans="1:10" ht="12.5">
      <c r="A123" s="1" t="s">
        <v>421</v>
      </c>
      <c r="B123" s="4">
        <v>45697</v>
      </c>
      <c r="C123" s="1" t="s">
        <v>47</v>
      </c>
      <c r="D123" s="1" t="s">
        <v>48</v>
      </c>
      <c r="E123" s="1" t="s">
        <v>25</v>
      </c>
      <c r="F123" s="1" t="s">
        <v>15</v>
      </c>
      <c r="G123" s="1" t="s">
        <v>32</v>
      </c>
      <c r="H123" s="1">
        <v>1</v>
      </c>
      <c r="I123" s="1" t="s">
        <v>422</v>
      </c>
      <c r="J123" s="1" t="s">
        <v>422</v>
      </c>
    </row>
    <row r="124" spans="1:10" ht="12.5">
      <c r="A124" s="1" t="s">
        <v>423</v>
      </c>
      <c r="B124" s="4">
        <v>45698</v>
      </c>
      <c r="C124" s="1" t="s">
        <v>61</v>
      </c>
      <c r="D124" s="1" t="s">
        <v>24</v>
      </c>
      <c r="E124" s="1" t="s">
        <v>30</v>
      </c>
      <c r="F124" s="1" t="s">
        <v>31</v>
      </c>
      <c r="G124" s="1" t="s">
        <v>17</v>
      </c>
      <c r="H124" s="1">
        <v>20</v>
      </c>
      <c r="I124" s="1" t="s">
        <v>424</v>
      </c>
      <c r="J124" s="6">
        <v>804662</v>
      </c>
    </row>
    <row r="125" spans="1:10" ht="12.5">
      <c r="A125" s="1" t="s">
        <v>425</v>
      </c>
      <c r="B125" s="4">
        <v>45698</v>
      </c>
      <c r="C125" s="1" t="s">
        <v>426</v>
      </c>
      <c r="D125" s="1" t="s">
        <v>13</v>
      </c>
      <c r="E125" s="1" t="s">
        <v>67</v>
      </c>
      <c r="F125" s="1" t="s">
        <v>52</v>
      </c>
      <c r="G125" s="1" t="s">
        <v>39</v>
      </c>
      <c r="H125" s="1">
        <v>1</v>
      </c>
      <c r="I125" s="1" t="s">
        <v>427</v>
      </c>
      <c r="J125" s="1" t="s">
        <v>427</v>
      </c>
    </row>
    <row r="126" spans="1:10" ht="12.5">
      <c r="A126" s="1" t="s">
        <v>428</v>
      </c>
      <c r="B126" s="4">
        <v>45699</v>
      </c>
      <c r="C126" s="1" t="s">
        <v>66</v>
      </c>
      <c r="D126" s="1" t="s">
        <v>117</v>
      </c>
      <c r="E126" s="1" t="s">
        <v>67</v>
      </c>
      <c r="F126" s="1" t="s">
        <v>52</v>
      </c>
      <c r="G126" s="1" t="s">
        <v>32</v>
      </c>
      <c r="H126" s="1">
        <v>1</v>
      </c>
      <c r="I126" s="1" t="s">
        <v>429</v>
      </c>
      <c r="J126" s="1" t="s">
        <v>430</v>
      </c>
    </row>
    <row r="127" spans="1:10" ht="12.5">
      <c r="A127" s="1" t="s">
        <v>431</v>
      </c>
      <c r="B127" s="4">
        <v>45699</v>
      </c>
      <c r="C127" s="1" t="s">
        <v>262</v>
      </c>
      <c r="D127" s="1" t="s">
        <v>48</v>
      </c>
      <c r="E127" s="1" t="s">
        <v>49</v>
      </c>
      <c r="F127" s="1" t="s">
        <v>50</v>
      </c>
      <c r="G127" s="1" t="s">
        <v>39</v>
      </c>
      <c r="H127" s="1">
        <v>2</v>
      </c>
      <c r="I127" s="1" t="s">
        <v>432</v>
      </c>
      <c r="J127" s="1" t="s">
        <v>433</v>
      </c>
    </row>
    <row r="128" spans="1:10" ht="12.5">
      <c r="A128" s="1" t="s">
        <v>434</v>
      </c>
      <c r="B128" s="4">
        <v>45700</v>
      </c>
      <c r="C128" s="1" t="s">
        <v>435</v>
      </c>
      <c r="D128" s="1" t="s">
        <v>13</v>
      </c>
      <c r="E128" s="1" t="s">
        <v>96</v>
      </c>
      <c r="F128" s="1" t="s">
        <v>50</v>
      </c>
      <c r="G128" s="1" t="s">
        <v>17</v>
      </c>
      <c r="H128" s="1">
        <v>5</v>
      </c>
      <c r="I128" s="1" t="s">
        <v>436</v>
      </c>
      <c r="J128" s="1" t="s">
        <v>437</v>
      </c>
    </row>
    <row r="129" spans="1:10" ht="12.5">
      <c r="A129" s="1" t="s">
        <v>438</v>
      </c>
      <c r="B129" s="4">
        <v>45701</v>
      </c>
      <c r="C129" s="1" t="s">
        <v>326</v>
      </c>
      <c r="D129" s="1" t="s">
        <v>117</v>
      </c>
      <c r="E129" s="1" t="s">
        <v>96</v>
      </c>
      <c r="F129" s="1" t="s">
        <v>50</v>
      </c>
      <c r="G129" s="1" t="s">
        <v>32</v>
      </c>
      <c r="H129" s="1">
        <v>10</v>
      </c>
      <c r="I129" s="1" t="s">
        <v>439</v>
      </c>
      <c r="J129" s="1" t="s">
        <v>440</v>
      </c>
    </row>
    <row r="130" spans="1:10" ht="12.5">
      <c r="A130" s="1" t="s">
        <v>441</v>
      </c>
      <c r="B130" s="4">
        <v>45703</v>
      </c>
      <c r="C130" s="1" t="s">
        <v>307</v>
      </c>
      <c r="D130" s="1" t="s">
        <v>24</v>
      </c>
      <c r="E130" s="1" t="s">
        <v>107</v>
      </c>
      <c r="F130" s="1" t="s">
        <v>52</v>
      </c>
      <c r="G130" s="1" t="s">
        <v>32</v>
      </c>
      <c r="H130" s="1">
        <v>1</v>
      </c>
      <c r="I130" s="1" t="s">
        <v>442</v>
      </c>
      <c r="J130" s="1" t="s">
        <v>443</v>
      </c>
    </row>
    <row r="131" spans="1:10" ht="12.5">
      <c r="A131" s="1" t="s">
        <v>444</v>
      </c>
      <c r="B131" s="4">
        <v>45704</v>
      </c>
      <c r="C131" s="1" t="s">
        <v>445</v>
      </c>
      <c r="D131" s="1" t="s">
        <v>117</v>
      </c>
      <c r="E131" s="1" t="s">
        <v>107</v>
      </c>
      <c r="F131" s="1" t="s">
        <v>52</v>
      </c>
      <c r="G131" s="1" t="s">
        <v>17</v>
      </c>
      <c r="H131" s="1">
        <v>1</v>
      </c>
      <c r="I131" s="1" t="s">
        <v>446</v>
      </c>
      <c r="J131" s="1" t="s">
        <v>446</v>
      </c>
    </row>
    <row r="132" spans="1:10" ht="12.5">
      <c r="A132" s="1" t="s">
        <v>447</v>
      </c>
      <c r="B132" s="4">
        <v>45705</v>
      </c>
      <c r="C132" s="1" t="s">
        <v>36</v>
      </c>
      <c r="D132" s="1" t="s">
        <v>58</v>
      </c>
      <c r="E132" s="1" t="s">
        <v>51</v>
      </c>
      <c r="F132" s="1" t="s">
        <v>52</v>
      </c>
      <c r="G132" s="1" t="s">
        <v>32</v>
      </c>
      <c r="H132" s="1">
        <v>1</v>
      </c>
      <c r="I132" s="1" t="s">
        <v>448</v>
      </c>
      <c r="J132" s="1" t="s">
        <v>448</v>
      </c>
    </row>
    <row r="133" spans="1:10" ht="12.5">
      <c r="A133" s="1" t="s">
        <v>449</v>
      </c>
      <c r="B133" s="4">
        <v>45706</v>
      </c>
      <c r="C133" s="1" t="s">
        <v>12</v>
      </c>
      <c r="D133" s="1" t="s">
        <v>13</v>
      </c>
      <c r="E133" s="1" t="s">
        <v>163</v>
      </c>
      <c r="F133" s="1" t="s">
        <v>50</v>
      </c>
      <c r="G133" s="1" t="s">
        <v>39</v>
      </c>
      <c r="H133" s="1">
        <v>1</v>
      </c>
      <c r="I133" s="1" t="s">
        <v>450</v>
      </c>
      <c r="J133" s="1" t="s">
        <v>450</v>
      </c>
    </row>
    <row r="134" spans="1:10" ht="12.5">
      <c r="A134" s="1" t="s">
        <v>451</v>
      </c>
      <c r="B134" s="4">
        <v>45706</v>
      </c>
      <c r="C134" s="1" t="s">
        <v>23</v>
      </c>
      <c r="D134" s="1" t="s">
        <v>13</v>
      </c>
      <c r="E134" s="1" t="s">
        <v>178</v>
      </c>
      <c r="F134" s="1" t="s">
        <v>31</v>
      </c>
      <c r="G134" s="1" t="s">
        <v>160</v>
      </c>
      <c r="H134" s="1">
        <v>5</v>
      </c>
      <c r="I134" s="1" t="s">
        <v>452</v>
      </c>
      <c r="J134" s="1" t="s">
        <v>453</v>
      </c>
    </row>
    <row r="135" spans="1:10" ht="12.5">
      <c r="A135" s="1" t="s">
        <v>454</v>
      </c>
      <c r="B135" s="4">
        <v>45706</v>
      </c>
      <c r="C135" s="1" t="s">
        <v>435</v>
      </c>
      <c r="D135" s="1" t="s">
        <v>24</v>
      </c>
      <c r="E135" s="1" t="s">
        <v>163</v>
      </c>
      <c r="F135" s="1" t="s">
        <v>50</v>
      </c>
      <c r="G135" s="1" t="s">
        <v>17</v>
      </c>
      <c r="H135" s="1">
        <v>20</v>
      </c>
      <c r="I135" s="1" t="s">
        <v>455</v>
      </c>
      <c r="J135" s="1" t="s">
        <v>456</v>
      </c>
    </row>
    <row r="136" spans="1:10" ht="12.5">
      <c r="A136" s="1" t="s">
        <v>457</v>
      </c>
      <c r="B136" s="4">
        <v>45706</v>
      </c>
      <c r="C136" s="1" t="s">
        <v>200</v>
      </c>
      <c r="D136" s="1" t="s">
        <v>48</v>
      </c>
      <c r="E136" s="1" t="s">
        <v>30</v>
      </c>
      <c r="F136" s="1" t="s">
        <v>31</v>
      </c>
      <c r="G136" s="1" t="s">
        <v>39</v>
      </c>
      <c r="H136" s="1">
        <v>1</v>
      </c>
      <c r="I136" s="1" t="s">
        <v>458</v>
      </c>
      <c r="J136" s="1" t="s">
        <v>458</v>
      </c>
    </row>
    <row r="137" spans="1:10" ht="12.5">
      <c r="A137" s="1" t="s">
        <v>459</v>
      </c>
      <c r="B137" s="4">
        <v>45706</v>
      </c>
      <c r="C137" s="1" t="s">
        <v>222</v>
      </c>
      <c r="D137" s="1" t="s">
        <v>13</v>
      </c>
      <c r="E137" s="1" t="s">
        <v>49</v>
      </c>
      <c r="F137" s="1" t="s">
        <v>50</v>
      </c>
      <c r="G137" s="1" t="s">
        <v>71</v>
      </c>
      <c r="H137" s="1">
        <v>2</v>
      </c>
      <c r="I137" s="1" t="s">
        <v>460</v>
      </c>
      <c r="J137" s="1" t="s">
        <v>461</v>
      </c>
    </row>
    <row r="138" spans="1:10" ht="12.5">
      <c r="A138" s="1" t="s">
        <v>462</v>
      </c>
      <c r="B138" s="4">
        <v>45707</v>
      </c>
      <c r="C138" s="1" t="s">
        <v>290</v>
      </c>
      <c r="D138" s="1" t="s">
        <v>58</v>
      </c>
      <c r="E138" s="1" t="s">
        <v>30</v>
      </c>
      <c r="F138" s="1" t="s">
        <v>31</v>
      </c>
      <c r="G138" s="1" t="s">
        <v>71</v>
      </c>
      <c r="H138" s="1">
        <v>10</v>
      </c>
      <c r="I138" s="1" t="s">
        <v>463</v>
      </c>
      <c r="J138" s="6">
        <v>2911136</v>
      </c>
    </row>
    <row r="139" spans="1:10" ht="12.5">
      <c r="A139" s="1" t="s">
        <v>464</v>
      </c>
      <c r="B139" s="4">
        <v>45708</v>
      </c>
      <c r="C139" s="1" t="s">
        <v>66</v>
      </c>
      <c r="D139" s="1" t="s">
        <v>13</v>
      </c>
      <c r="E139" s="1" t="s">
        <v>163</v>
      </c>
      <c r="F139" s="1" t="s">
        <v>50</v>
      </c>
      <c r="G139" s="1" t="s">
        <v>39</v>
      </c>
      <c r="H139" s="1">
        <v>2</v>
      </c>
      <c r="I139" s="1" t="s">
        <v>465</v>
      </c>
      <c r="J139" s="1" t="s">
        <v>466</v>
      </c>
    </row>
    <row r="140" spans="1:10" ht="12.5">
      <c r="A140" s="1" t="s">
        <v>467</v>
      </c>
      <c r="B140" s="4">
        <v>45708</v>
      </c>
      <c r="C140" s="1" t="s">
        <v>200</v>
      </c>
      <c r="D140" s="1" t="s">
        <v>117</v>
      </c>
      <c r="E140" s="1" t="s">
        <v>96</v>
      </c>
      <c r="F140" s="1" t="s">
        <v>50</v>
      </c>
      <c r="G140" s="1" t="s">
        <v>32</v>
      </c>
      <c r="H140" s="1">
        <v>50</v>
      </c>
      <c r="I140" s="1" t="s">
        <v>468</v>
      </c>
      <c r="J140" s="6">
        <v>453753</v>
      </c>
    </row>
    <row r="141" spans="1:10" ht="12.5">
      <c r="A141" s="1" t="s">
        <v>469</v>
      </c>
      <c r="B141" s="4">
        <v>45708</v>
      </c>
      <c r="C141" s="1" t="s">
        <v>470</v>
      </c>
      <c r="D141" s="1" t="s">
        <v>24</v>
      </c>
      <c r="E141" s="1" t="s">
        <v>471</v>
      </c>
      <c r="F141" s="1" t="s">
        <v>472</v>
      </c>
      <c r="G141" s="1" t="s">
        <v>209</v>
      </c>
      <c r="H141" s="1">
        <v>1</v>
      </c>
      <c r="I141" s="1" t="s">
        <v>212</v>
      </c>
      <c r="J141" s="1" t="s">
        <v>213</v>
      </c>
    </row>
    <row r="142" spans="1:10" ht="12.5">
      <c r="A142" s="1" t="s">
        <v>473</v>
      </c>
      <c r="B142" s="4">
        <v>45709</v>
      </c>
      <c r="C142" s="1" t="s">
        <v>307</v>
      </c>
      <c r="D142" s="1" t="s">
        <v>24</v>
      </c>
      <c r="E142" s="1" t="s">
        <v>30</v>
      </c>
      <c r="F142" s="1" t="s">
        <v>31</v>
      </c>
      <c r="G142" s="1" t="s">
        <v>17</v>
      </c>
      <c r="H142" s="1">
        <v>2</v>
      </c>
      <c r="I142" s="1" t="s">
        <v>474</v>
      </c>
      <c r="J142" s="1" t="s">
        <v>475</v>
      </c>
    </row>
    <row r="143" spans="1:10" ht="12.5">
      <c r="A143" s="1" t="s">
        <v>476</v>
      </c>
      <c r="B143" s="4">
        <v>45709</v>
      </c>
      <c r="C143" s="1" t="s">
        <v>61</v>
      </c>
      <c r="D143" s="1" t="s">
        <v>13</v>
      </c>
      <c r="E143" s="1" t="s">
        <v>38</v>
      </c>
      <c r="F143" s="1" t="s">
        <v>15</v>
      </c>
      <c r="G143" s="1" t="s">
        <v>71</v>
      </c>
      <c r="H143" s="1">
        <v>50</v>
      </c>
      <c r="I143" s="1" t="s">
        <v>477</v>
      </c>
      <c r="J143" s="1" t="s">
        <v>478</v>
      </c>
    </row>
    <row r="144" spans="1:10" ht="12.5">
      <c r="A144" s="1" t="s">
        <v>479</v>
      </c>
      <c r="B144" s="4">
        <v>45709</v>
      </c>
      <c r="C144" s="1" t="s">
        <v>135</v>
      </c>
      <c r="D144" s="1" t="s">
        <v>48</v>
      </c>
      <c r="E144" s="1" t="s">
        <v>107</v>
      </c>
      <c r="F144" s="1" t="s">
        <v>52</v>
      </c>
      <c r="G144" s="1" t="s">
        <v>39</v>
      </c>
      <c r="H144" s="1">
        <v>10</v>
      </c>
      <c r="I144" s="1" t="s">
        <v>480</v>
      </c>
      <c r="J144" s="6">
        <v>1098682</v>
      </c>
    </row>
    <row r="145" spans="1:10" ht="12.5">
      <c r="A145" s="1" t="s">
        <v>481</v>
      </c>
      <c r="B145" s="4">
        <v>45709</v>
      </c>
      <c r="C145" s="1" t="s">
        <v>125</v>
      </c>
      <c r="D145" s="1" t="s">
        <v>48</v>
      </c>
      <c r="E145" s="1" t="s">
        <v>30</v>
      </c>
      <c r="F145" s="1" t="s">
        <v>31</v>
      </c>
      <c r="G145" s="1" t="s">
        <v>205</v>
      </c>
      <c r="H145" s="1">
        <v>2</v>
      </c>
      <c r="I145" s="1" t="s">
        <v>482</v>
      </c>
      <c r="J145" s="1" t="s">
        <v>483</v>
      </c>
    </row>
    <row r="146" spans="1:10" ht="12.5">
      <c r="A146" s="1" t="s">
        <v>484</v>
      </c>
      <c r="B146" s="4">
        <v>45709</v>
      </c>
      <c r="C146" s="1" t="s">
        <v>125</v>
      </c>
      <c r="D146" s="1" t="s">
        <v>24</v>
      </c>
      <c r="E146" s="1" t="s">
        <v>62</v>
      </c>
      <c r="F146" s="1" t="s">
        <v>31</v>
      </c>
      <c r="G146" s="1" t="s">
        <v>39</v>
      </c>
      <c r="H146" s="1">
        <v>5</v>
      </c>
      <c r="I146" s="1" t="s">
        <v>485</v>
      </c>
      <c r="J146" s="1" t="s">
        <v>486</v>
      </c>
    </row>
    <row r="147" spans="1:10" ht="12.5">
      <c r="A147" s="1" t="s">
        <v>487</v>
      </c>
      <c r="B147" s="4">
        <v>45709</v>
      </c>
      <c r="C147" s="1" t="s">
        <v>122</v>
      </c>
      <c r="D147" s="1" t="s">
        <v>13</v>
      </c>
      <c r="E147" s="1" t="s">
        <v>30</v>
      </c>
      <c r="F147" s="1" t="s">
        <v>31</v>
      </c>
      <c r="G147" s="1" t="s">
        <v>82</v>
      </c>
      <c r="H147" s="1">
        <v>1</v>
      </c>
      <c r="I147" s="1" t="s">
        <v>488</v>
      </c>
      <c r="J147" s="1" t="s">
        <v>488</v>
      </c>
    </row>
    <row r="148" spans="1:10" ht="12.5">
      <c r="A148" s="1" t="s">
        <v>489</v>
      </c>
      <c r="B148" s="4">
        <v>45709</v>
      </c>
      <c r="C148" s="1" t="s">
        <v>222</v>
      </c>
      <c r="D148" s="1" t="s">
        <v>13</v>
      </c>
      <c r="E148" s="1" t="s">
        <v>30</v>
      </c>
      <c r="F148" s="1" t="s">
        <v>31</v>
      </c>
      <c r="G148" s="1" t="s">
        <v>71</v>
      </c>
      <c r="H148" s="1">
        <v>1</v>
      </c>
      <c r="I148" s="1" t="s">
        <v>490</v>
      </c>
      <c r="J148" s="1" t="s">
        <v>490</v>
      </c>
    </row>
    <row r="149" spans="1:10" ht="12.5">
      <c r="A149" s="1" t="s">
        <v>491</v>
      </c>
      <c r="B149" s="4">
        <v>45710</v>
      </c>
      <c r="C149" s="1" t="s">
        <v>250</v>
      </c>
      <c r="D149" s="1" t="s">
        <v>492</v>
      </c>
      <c r="E149" s="1" t="s">
        <v>38</v>
      </c>
      <c r="F149" s="1" t="s">
        <v>15</v>
      </c>
      <c r="G149" s="1" t="s">
        <v>71</v>
      </c>
      <c r="H149" s="1">
        <v>2</v>
      </c>
      <c r="I149" s="1" t="s">
        <v>493</v>
      </c>
      <c r="J149" s="1" t="s">
        <v>494</v>
      </c>
    </row>
    <row r="150" spans="1:10" ht="12.5">
      <c r="A150" s="1" t="s">
        <v>495</v>
      </c>
      <c r="B150" s="4">
        <v>45711</v>
      </c>
      <c r="C150" s="1" t="s">
        <v>435</v>
      </c>
      <c r="D150" s="1" t="s">
        <v>117</v>
      </c>
      <c r="E150" s="1" t="s">
        <v>62</v>
      </c>
      <c r="F150" s="1" t="s">
        <v>31</v>
      </c>
      <c r="G150" s="1" t="s">
        <v>39</v>
      </c>
      <c r="H150" s="1">
        <v>10</v>
      </c>
      <c r="I150" s="1" t="s">
        <v>496</v>
      </c>
      <c r="J150" s="1" t="s">
        <v>497</v>
      </c>
    </row>
    <row r="151" spans="1:10" ht="12.5">
      <c r="A151" s="1" t="s">
        <v>498</v>
      </c>
      <c r="B151" s="4">
        <v>45711</v>
      </c>
      <c r="C151" s="1" t="s">
        <v>61</v>
      </c>
      <c r="D151" s="1" t="s">
        <v>48</v>
      </c>
      <c r="E151" s="1" t="s">
        <v>62</v>
      </c>
      <c r="F151" s="1" t="s">
        <v>31</v>
      </c>
      <c r="G151" s="1" t="s">
        <v>39</v>
      </c>
      <c r="H151" s="1">
        <v>1</v>
      </c>
      <c r="I151" s="1" t="s">
        <v>499</v>
      </c>
      <c r="J151" s="1" t="s">
        <v>499</v>
      </c>
    </row>
    <row r="152" spans="1:10" ht="12.5">
      <c r="A152" s="1" t="s">
        <v>500</v>
      </c>
      <c r="B152" s="4">
        <v>45711</v>
      </c>
      <c r="C152" s="1" t="s">
        <v>290</v>
      </c>
      <c r="D152" s="1" t="s">
        <v>24</v>
      </c>
      <c r="E152" s="1" t="s">
        <v>96</v>
      </c>
      <c r="F152" s="1" t="s">
        <v>50</v>
      </c>
      <c r="G152" s="1" t="s">
        <v>71</v>
      </c>
      <c r="H152" s="1">
        <v>2</v>
      </c>
      <c r="I152" s="1" t="s">
        <v>501</v>
      </c>
      <c r="J152" s="1" t="s">
        <v>502</v>
      </c>
    </row>
    <row r="153" spans="1:10" ht="12.5">
      <c r="A153" s="1" t="s">
        <v>503</v>
      </c>
      <c r="B153" s="4">
        <v>45711</v>
      </c>
      <c r="C153" s="1" t="s">
        <v>122</v>
      </c>
      <c r="D153" s="1" t="s">
        <v>13</v>
      </c>
      <c r="E153" s="1" t="s">
        <v>14</v>
      </c>
      <c r="F153" s="1" t="s">
        <v>15</v>
      </c>
      <c r="G153" s="1" t="s">
        <v>39</v>
      </c>
      <c r="H153" s="1">
        <v>10</v>
      </c>
      <c r="I153" s="1" t="s">
        <v>504</v>
      </c>
      <c r="J153" s="1" t="s">
        <v>505</v>
      </c>
    </row>
    <row r="154" spans="1:10" ht="12.5">
      <c r="A154" s="1" t="s">
        <v>332</v>
      </c>
      <c r="B154" s="4">
        <v>45712</v>
      </c>
      <c r="C154" s="1" t="s">
        <v>175</v>
      </c>
      <c r="D154" s="1" t="s">
        <v>24</v>
      </c>
      <c r="E154" s="1" t="s">
        <v>38</v>
      </c>
      <c r="F154" s="1" t="s">
        <v>15</v>
      </c>
      <c r="G154" s="1" t="s">
        <v>17</v>
      </c>
      <c r="H154" s="1">
        <v>1</v>
      </c>
      <c r="I154" s="1" t="s">
        <v>336</v>
      </c>
      <c r="J154" s="1" t="s">
        <v>336</v>
      </c>
    </row>
    <row r="155" spans="1:10" ht="12.5">
      <c r="A155" s="1" t="s">
        <v>506</v>
      </c>
      <c r="B155" s="4">
        <v>45712</v>
      </c>
      <c r="C155" s="1" t="s">
        <v>329</v>
      </c>
      <c r="D155" s="1" t="s">
        <v>117</v>
      </c>
      <c r="E155" s="1" t="s">
        <v>30</v>
      </c>
      <c r="F155" s="1" t="s">
        <v>31</v>
      </c>
      <c r="G155" s="1" t="s">
        <v>17</v>
      </c>
      <c r="H155" s="1">
        <v>1</v>
      </c>
      <c r="I155" s="1" t="s">
        <v>507</v>
      </c>
      <c r="J155" s="1" t="s">
        <v>507</v>
      </c>
    </row>
    <row r="156" spans="1:10" ht="12.5">
      <c r="A156" s="1" t="s">
        <v>508</v>
      </c>
      <c r="B156" s="4">
        <v>45712</v>
      </c>
      <c r="C156" s="1" t="s">
        <v>326</v>
      </c>
      <c r="D156" s="1" t="s">
        <v>48</v>
      </c>
      <c r="E156" s="1" t="s">
        <v>51</v>
      </c>
      <c r="F156" s="1" t="s">
        <v>52</v>
      </c>
      <c r="G156" s="1" t="s">
        <v>160</v>
      </c>
      <c r="H156" s="1">
        <v>1</v>
      </c>
      <c r="I156" s="1" t="s">
        <v>509</v>
      </c>
      <c r="J156" s="1" t="s">
        <v>509</v>
      </c>
    </row>
    <row r="157" spans="1:10" ht="12.5">
      <c r="A157" s="1" t="s">
        <v>510</v>
      </c>
      <c r="B157" s="4">
        <v>45712</v>
      </c>
      <c r="C157" s="1" t="s">
        <v>47</v>
      </c>
      <c r="D157" s="1" t="s">
        <v>58</v>
      </c>
      <c r="E157" s="1" t="s">
        <v>67</v>
      </c>
      <c r="F157" s="1" t="s">
        <v>52</v>
      </c>
      <c r="G157" s="1" t="s">
        <v>17</v>
      </c>
      <c r="H157" s="1">
        <v>1</v>
      </c>
      <c r="I157" s="1" t="s">
        <v>511</v>
      </c>
      <c r="J157" s="1" t="s">
        <v>511</v>
      </c>
    </row>
    <row r="158" spans="1:10" ht="12.5">
      <c r="A158" s="1" t="s">
        <v>512</v>
      </c>
      <c r="B158" s="4">
        <v>45713</v>
      </c>
      <c r="C158" s="1" t="s">
        <v>92</v>
      </c>
      <c r="D158" s="1" t="s">
        <v>13</v>
      </c>
      <c r="E158" s="1" t="s">
        <v>163</v>
      </c>
      <c r="F158" s="1" t="s">
        <v>50</v>
      </c>
      <c r="G158" s="1" t="s">
        <v>86</v>
      </c>
      <c r="H158" s="1">
        <v>2</v>
      </c>
      <c r="I158" s="1" t="s">
        <v>513</v>
      </c>
      <c r="J158" s="1" t="s">
        <v>514</v>
      </c>
    </row>
    <row r="159" spans="1:10" ht="12.5">
      <c r="A159" s="1" t="s">
        <v>515</v>
      </c>
      <c r="B159" s="4">
        <v>45713</v>
      </c>
      <c r="C159" s="1" t="s">
        <v>215</v>
      </c>
      <c r="D159" s="1" t="s">
        <v>24</v>
      </c>
      <c r="E159" s="1" t="s">
        <v>67</v>
      </c>
      <c r="F159" s="1" t="s">
        <v>52</v>
      </c>
      <c r="G159" s="1" t="s">
        <v>32</v>
      </c>
      <c r="H159" s="1">
        <v>5</v>
      </c>
      <c r="I159" s="1" t="s">
        <v>516</v>
      </c>
      <c r="J159" s="6" t="s">
        <v>517</v>
      </c>
    </row>
    <row r="160" spans="1:10" ht="12.5">
      <c r="A160" s="1" t="s">
        <v>518</v>
      </c>
      <c r="B160" s="4">
        <v>45714</v>
      </c>
      <c r="C160" s="1" t="s">
        <v>215</v>
      </c>
      <c r="D160" s="1" t="s">
        <v>24</v>
      </c>
      <c r="E160" s="1" t="s">
        <v>25</v>
      </c>
      <c r="F160" s="1" t="s">
        <v>15</v>
      </c>
      <c r="G160" s="1" t="s">
        <v>39</v>
      </c>
      <c r="H160" s="1">
        <v>10</v>
      </c>
      <c r="I160" s="1" t="s">
        <v>519</v>
      </c>
      <c r="J160" s="6" t="s">
        <v>520</v>
      </c>
    </row>
    <row r="161" spans="1:10" ht="12.5">
      <c r="A161" s="1" t="s">
        <v>518</v>
      </c>
      <c r="B161" s="4">
        <v>45714</v>
      </c>
      <c r="C161" s="1" t="s">
        <v>215</v>
      </c>
      <c r="D161" s="1" t="s">
        <v>24</v>
      </c>
      <c r="E161" s="1" t="s">
        <v>25</v>
      </c>
      <c r="F161" s="1" t="s">
        <v>15</v>
      </c>
      <c r="G161" s="1" t="s">
        <v>39</v>
      </c>
      <c r="H161" s="1">
        <v>10</v>
      </c>
      <c r="I161" s="1" t="s">
        <v>519</v>
      </c>
      <c r="J161" s="6" t="s">
        <v>520</v>
      </c>
    </row>
    <row r="162" spans="1:10" ht="12.5">
      <c r="A162" s="1" t="s">
        <v>521</v>
      </c>
      <c r="B162" s="4">
        <v>45714</v>
      </c>
      <c r="C162" s="1" t="s">
        <v>92</v>
      </c>
      <c r="D162" s="1" t="s">
        <v>13</v>
      </c>
      <c r="E162" s="1" t="s">
        <v>163</v>
      </c>
      <c r="F162" s="1" t="s">
        <v>50</v>
      </c>
      <c r="G162" s="1" t="s">
        <v>39</v>
      </c>
      <c r="H162" s="1">
        <v>20</v>
      </c>
      <c r="I162" s="1" t="s">
        <v>522</v>
      </c>
      <c r="J162" s="1" t="s">
        <v>523</v>
      </c>
    </row>
    <row r="163" spans="1:10" ht="12.5">
      <c r="A163" s="1" t="s">
        <v>524</v>
      </c>
      <c r="B163" s="4">
        <v>45714</v>
      </c>
      <c r="C163" s="1" t="s">
        <v>435</v>
      </c>
      <c r="D163" s="1" t="s">
        <v>525</v>
      </c>
      <c r="E163" s="1" t="s">
        <v>49</v>
      </c>
      <c r="F163" s="1" t="s">
        <v>50</v>
      </c>
      <c r="G163" s="1" t="s">
        <v>160</v>
      </c>
      <c r="H163" s="1">
        <v>20</v>
      </c>
      <c r="I163" s="1" t="s">
        <v>526</v>
      </c>
      <c r="J163" s="6">
        <v>111797</v>
      </c>
    </row>
    <row r="164" spans="1:10" ht="12.5">
      <c r="A164" s="1" t="s">
        <v>527</v>
      </c>
      <c r="B164" s="4">
        <v>45714</v>
      </c>
      <c r="C164" s="1" t="s">
        <v>135</v>
      </c>
      <c r="D164" s="1" t="s">
        <v>13</v>
      </c>
      <c r="E164" s="1" t="s">
        <v>30</v>
      </c>
      <c r="F164" s="1" t="s">
        <v>31</v>
      </c>
      <c r="G164" s="1" t="s">
        <v>32</v>
      </c>
      <c r="H164" s="1">
        <v>1</v>
      </c>
      <c r="I164" s="1" t="s">
        <v>528</v>
      </c>
      <c r="J164" s="1" t="s">
        <v>528</v>
      </c>
    </row>
    <row r="165" spans="1:10" ht="12.5">
      <c r="A165" s="1" t="s">
        <v>529</v>
      </c>
      <c r="B165" s="4">
        <v>45714</v>
      </c>
      <c r="C165" s="1" t="s">
        <v>307</v>
      </c>
      <c r="D165" s="1" t="s">
        <v>24</v>
      </c>
      <c r="E165" s="1" t="s">
        <v>163</v>
      </c>
      <c r="F165" s="1" t="s">
        <v>50</v>
      </c>
      <c r="G165" s="1" t="s">
        <v>71</v>
      </c>
      <c r="H165" s="1">
        <v>1</v>
      </c>
      <c r="I165" s="1" t="s">
        <v>530</v>
      </c>
      <c r="J165" s="1" t="s">
        <v>530</v>
      </c>
    </row>
    <row r="166" spans="1:10" ht="12.5">
      <c r="A166" s="1" t="s">
        <v>531</v>
      </c>
      <c r="B166" s="4">
        <v>45715</v>
      </c>
      <c r="C166" s="1" t="s">
        <v>182</v>
      </c>
      <c r="D166" s="1" t="s">
        <v>13</v>
      </c>
      <c r="E166" s="1" t="s">
        <v>96</v>
      </c>
      <c r="F166" s="1" t="s">
        <v>50</v>
      </c>
      <c r="G166" s="1" t="s">
        <v>39</v>
      </c>
      <c r="H166" s="1">
        <v>1</v>
      </c>
      <c r="I166" s="1" t="s">
        <v>532</v>
      </c>
      <c r="J166" s="1" t="s">
        <v>533</v>
      </c>
    </row>
    <row r="167" spans="1:10" ht="12.5">
      <c r="A167" s="1" t="s">
        <v>534</v>
      </c>
      <c r="B167" s="4">
        <v>45715</v>
      </c>
      <c r="C167" s="1" t="s">
        <v>262</v>
      </c>
      <c r="D167" s="1" t="s">
        <v>13</v>
      </c>
      <c r="E167" s="1" t="s">
        <v>178</v>
      </c>
      <c r="F167" s="1" t="s">
        <v>31</v>
      </c>
      <c r="G167" s="1" t="s">
        <v>82</v>
      </c>
      <c r="H167" s="1">
        <v>2</v>
      </c>
      <c r="I167" s="1" t="s">
        <v>535</v>
      </c>
      <c r="J167" s="1" t="s">
        <v>536</v>
      </c>
    </row>
    <row r="168" spans="1:10" ht="12.5">
      <c r="A168" s="1" t="s">
        <v>537</v>
      </c>
      <c r="B168" s="4">
        <v>45715</v>
      </c>
      <c r="C168" s="1" t="s">
        <v>186</v>
      </c>
      <c r="D168" s="1" t="s">
        <v>24</v>
      </c>
      <c r="E168" s="1" t="s">
        <v>96</v>
      </c>
      <c r="F168" s="1" t="s">
        <v>50</v>
      </c>
      <c r="G168" s="1" t="s">
        <v>71</v>
      </c>
      <c r="H168" s="1">
        <v>5</v>
      </c>
      <c r="I168" s="1" t="s">
        <v>538</v>
      </c>
      <c r="J168" s="1" t="s">
        <v>539</v>
      </c>
    </row>
    <row r="169" spans="1:10" ht="12.5">
      <c r="A169" s="1" t="s">
        <v>540</v>
      </c>
      <c r="B169" s="4">
        <v>45715</v>
      </c>
      <c r="C169" s="1" t="s">
        <v>200</v>
      </c>
      <c r="D169" s="1" t="s">
        <v>24</v>
      </c>
      <c r="E169" s="1" t="s">
        <v>178</v>
      </c>
      <c r="F169" s="1" t="s">
        <v>31</v>
      </c>
      <c r="G169" s="1" t="s">
        <v>160</v>
      </c>
      <c r="H169" s="1">
        <v>1</v>
      </c>
      <c r="I169" s="1" t="s">
        <v>541</v>
      </c>
      <c r="J169" s="1" t="s">
        <v>542</v>
      </c>
    </row>
    <row r="170" spans="1:10" ht="12.5">
      <c r="A170" s="1" t="s">
        <v>543</v>
      </c>
      <c r="B170" s="4">
        <v>45716</v>
      </c>
      <c r="C170" s="1" t="s">
        <v>29</v>
      </c>
      <c r="D170" s="1" t="s">
        <v>24</v>
      </c>
      <c r="E170" s="1" t="s">
        <v>49</v>
      </c>
      <c r="F170" s="1" t="s">
        <v>50</v>
      </c>
      <c r="G170" s="1" t="s">
        <v>71</v>
      </c>
      <c r="H170" s="1">
        <v>1</v>
      </c>
      <c r="I170" s="1" t="s">
        <v>544</v>
      </c>
      <c r="J170" s="1" t="s">
        <v>544</v>
      </c>
    </row>
    <row r="171" spans="1:10" ht="12.5">
      <c r="A171" s="1" t="s">
        <v>545</v>
      </c>
      <c r="B171" s="4">
        <v>45716</v>
      </c>
      <c r="C171" s="1" t="s">
        <v>66</v>
      </c>
      <c r="D171" s="1" t="s">
        <v>48</v>
      </c>
      <c r="E171" s="1" t="s">
        <v>25</v>
      </c>
      <c r="F171" s="1" t="s">
        <v>15</v>
      </c>
      <c r="G171" s="1" t="s">
        <v>32</v>
      </c>
      <c r="H171" s="1">
        <v>2</v>
      </c>
      <c r="I171" s="1" t="s">
        <v>546</v>
      </c>
      <c r="J171" s="1" t="s">
        <v>547</v>
      </c>
    </row>
    <row r="172" spans="1:10" ht="12.5">
      <c r="A172" s="1" t="s">
        <v>549</v>
      </c>
      <c r="B172" s="4">
        <v>45716</v>
      </c>
      <c r="C172" s="1" t="s">
        <v>57</v>
      </c>
      <c r="D172" s="1" t="s">
        <v>13</v>
      </c>
      <c r="E172" s="1" t="s">
        <v>49</v>
      </c>
      <c r="F172" s="1" t="s">
        <v>50</v>
      </c>
      <c r="G172" s="1" t="s">
        <v>39</v>
      </c>
      <c r="H172" s="1">
        <v>1</v>
      </c>
      <c r="I172" s="1" t="s">
        <v>550</v>
      </c>
      <c r="J172" s="1" t="s">
        <v>551</v>
      </c>
    </row>
    <row r="173" spans="1:10" ht="12.5">
      <c r="A173" s="1" t="s">
        <v>553</v>
      </c>
      <c r="B173" s="4">
        <v>45716</v>
      </c>
      <c r="C173" s="1" t="s">
        <v>435</v>
      </c>
      <c r="D173" s="1" t="s">
        <v>48</v>
      </c>
      <c r="E173" s="1" t="s">
        <v>30</v>
      </c>
      <c r="F173" s="1" t="s">
        <v>31</v>
      </c>
      <c r="G173" s="1" t="s">
        <v>17</v>
      </c>
      <c r="H173" s="1">
        <v>5</v>
      </c>
      <c r="I173" s="1" t="s">
        <v>555</v>
      </c>
      <c r="J173" s="1" t="s">
        <v>556</v>
      </c>
    </row>
    <row r="174" spans="1:10" ht="12.5">
      <c r="A174" s="1" t="s">
        <v>557</v>
      </c>
      <c r="B174" s="4">
        <v>45717</v>
      </c>
      <c r="C174" s="1" t="s">
        <v>250</v>
      </c>
      <c r="D174" s="1" t="s">
        <v>37</v>
      </c>
      <c r="E174" s="1" t="s">
        <v>107</v>
      </c>
      <c r="F174" s="1" t="s">
        <v>52</v>
      </c>
      <c r="G174" s="1" t="s">
        <v>82</v>
      </c>
      <c r="H174" s="1">
        <v>5</v>
      </c>
      <c r="I174" s="1" t="s">
        <v>558</v>
      </c>
      <c r="J174" s="1" t="s">
        <v>559</v>
      </c>
    </row>
    <row r="175" spans="1:10" ht="12.5">
      <c r="A175" s="1" t="s">
        <v>560</v>
      </c>
      <c r="B175" s="4">
        <v>45717</v>
      </c>
      <c r="C175" s="1" t="s">
        <v>47</v>
      </c>
      <c r="D175" s="1" t="s">
        <v>24</v>
      </c>
      <c r="E175" s="1" t="s">
        <v>49</v>
      </c>
      <c r="F175" s="1" t="s">
        <v>50</v>
      </c>
      <c r="G175" s="1" t="s">
        <v>82</v>
      </c>
      <c r="H175" s="1">
        <v>2</v>
      </c>
      <c r="I175" s="1" t="s">
        <v>561</v>
      </c>
      <c r="J175" s="1" t="s">
        <v>562</v>
      </c>
    </row>
    <row r="176" spans="1:10" ht="12.5">
      <c r="A176" s="1" t="s">
        <v>563</v>
      </c>
      <c r="B176" s="4">
        <v>45717</v>
      </c>
      <c r="C176" s="1" t="s">
        <v>106</v>
      </c>
      <c r="D176" s="1" t="s">
        <v>24</v>
      </c>
      <c r="E176" s="1" t="s">
        <v>178</v>
      </c>
      <c r="F176" s="1" t="s">
        <v>31</v>
      </c>
      <c r="G176" s="1" t="s">
        <v>17</v>
      </c>
      <c r="H176" s="1">
        <v>5</v>
      </c>
      <c r="I176" s="1" t="s">
        <v>564</v>
      </c>
      <c r="J176" s="1" t="s">
        <v>565</v>
      </c>
    </row>
    <row r="177" spans="1:10" ht="12.5">
      <c r="A177" s="1" t="s">
        <v>566</v>
      </c>
      <c r="B177" s="4">
        <v>45717</v>
      </c>
      <c r="C177" s="1" t="s">
        <v>66</v>
      </c>
      <c r="D177" s="1" t="s">
        <v>24</v>
      </c>
      <c r="E177" s="1" t="s">
        <v>25</v>
      </c>
      <c r="F177" s="1" t="s">
        <v>15</v>
      </c>
      <c r="G177" s="1" t="s">
        <v>71</v>
      </c>
      <c r="H177" s="1">
        <v>2</v>
      </c>
      <c r="I177" s="1" t="s">
        <v>567</v>
      </c>
      <c r="J177" s="1" t="s">
        <v>568</v>
      </c>
    </row>
    <row r="178" spans="1:10" ht="12.5">
      <c r="A178" s="1" t="s">
        <v>569</v>
      </c>
      <c r="B178" s="4">
        <v>45717</v>
      </c>
      <c r="C178" s="1" t="s">
        <v>70</v>
      </c>
      <c r="D178" s="1" t="s">
        <v>58</v>
      </c>
      <c r="E178" s="1" t="s">
        <v>14</v>
      </c>
      <c r="F178" s="1" t="s">
        <v>15</v>
      </c>
      <c r="G178" s="1" t="s">
        <v>32</v>
      </c>
      <c r="H178" s="1">
        <v>1</v>
      </c>
      <c r="I178" s="1" t="s">
        <v>571</v>
      </c>
      <c r="J178" s="1" t="s">
        <v>571</v>
      </c>
    </row>
    <row r="179" spans="1:10" ht="12.5">
      <c r="A179" s="1" t="s">
        <v>572</v>
      </c>
      <c r="B179" s="4">
        <v>45717</v>
      </c>
      <c r="C179" s="1" t="s">
        <v>85</v>
      </c>
      <c r="D179" s="1" t="s">
        <v>48</v>
      </c>
      <c r="E179" s="1" t="s">
        <v>14</v>
      </c>
      <c r="F179" s="1" t="s">
        <v>15</v>
      </c>
      <c r="G179" s="1" t="s">
        <v>39</v>
      </c>
      <c r="H179" s="1">
        <v>2</v>
      </c>
      <c r="I179" s="1" t="s">
        <v>573</v>
      </c>
      <c r="J179" s="1" t="s">
        <v>575</v>
      </c>
    </row>
    <row r="180" spans="1:10" ht="12.5">
      <c r="A180" s="1" t="s">
        <v>576</v>
      </c>
      <c r="B180" s="4">
        <v>45718</v>
      </c>
      <c r="C180" s="1" t="s">
        <v>142</v>
      </c>
      <c r="D180" s="1" t="s">
        <v>13</v>
      </c>
      <c r="E180" s="1" t="s">
        <v>14</v>
      </c>
      <c r="F180" s="1" t="s">
        <v>15</v>
      </c>
      <c r="G180" s="1" t="s">
        <v>32</v>
      </c>
      <c r="H180" s="1">
        <v>2</v>
      </c>
      <c r="I180" s="1" t="s">
        <v>577</v>
      </c>
      <c r="J180" s="1" t="s">
        <v>578</v>
      </c>
    </row>
    <row r="181" spans="1:10" ht="12.5">
      <c r="A181" s="1" t="s">
        <v>579</v>
      </c>
      <c r="B181" s="4">
        <v>45718</v>
      </c>
      <c r="C181" s="1" t="s">
        <v>125</v>
      </c>
      <c r="D181" s="1" t="s">
        <v>48</v>
      </c>
      <c r="E181" s="1" t="s">
        <v>178</v>
      </c>
      <c r="F181" s="1" t="s">
        <v>31</v>
      </c>
      <c r="G181" s="1" t="s">
        <v>17</v>
      </c>
      <c r="H181" s="1">
        <v>1</v>
      </c>
      <c r="I181" s="1" t="s">
        <v>580</v>
      </c>
      <c r="J181" s="1" t="s">
        <v>581</v>
      </c>
    </row>
    <row r="182" spans="1:10" ht="12.5">
      <c r="A182" s="1" t="s">
        <v>582</v>
      </c>
      <c r="B182" s="4">
        <v>45719</v>
      </c>
      <c r="C182" s="1" t="s">
        <v>326</v>
      </c>
      <c r="D182" s="1" t="s">
        <v>13</v>
      </c>
      <c r="E182" s="1" t="s">
        <v>67</v>
      </c>
      <c r="F182" s="1" t="s">
        <v>52</v>
      </c>
      <c r="G182" s="1" t="s">
        <v>71</v>
      </c>
      <c r="H182" s="1">
        <v>20</v>
      </c>
      <c r="I182" s="1" t="s">
        <v>583</v>
      </c>
      <c r="J182" s="1" t="s">
        <v>584</v>
      </c>
    </row>
    <row r="183" spans="1:10" ht="12.5">
      <c r="A183" s="1" t="s">
        <v>585</v>
      </c>
      <c r="B183" s="4">
        <v>45719</v>
      </c>
      <c r="C183" s="1" t="s">
        <v>79</v>
      </c>
      <c r="D183" s="1" t="s">
        <v>13</v>
      </c>
      <c r="E183" s="1" t="s">
        <v>67</v>
      </c>
      <c r="F183" s="1" t="s">
        <v>52</v>
      </c>
      <c r="G183" s="1" t="s">
        <v>32</v>
      </c>
      <c r="H183" s="1">
        <v>1</v>
      </c>
      <c r="I183" s="1" t="s">
        <v>586</v>
      </c>
      <c r="J183" s="1" t="s">
        <v>586</v>
      </c>
    </row>
    <row r="184" spans="1:10" ht="12.5">
      <c r="A184" s="1" t="s">
        <v>587</v>
      </c>
      <c r="B184" s="4">
        <v>45719</v>
      </c>
      <c r="C184" s="1" t="s">
        <v>290</v>
      </c>
      <c r="D184" s="1" t="s">
        <v>24</v>
      </c>
      <c r="E184" s="1" t="s">
        <v>14</v>
      </c>
      <c r="F184" s="1" t="s">
        <v>15</v>
      </c>
      <c r="G184" s="1" t="s">
        <v>39</v>
      </c>
      <c r="H184" s="1">
        <v>5</v>
      </c>
      <c r="I184" s="1" t="s">
        <v>588</v>
      </c>
      <c r="J184" s="1" t="s">
        <v>589</v>
      </c>
    </row>
    <row r="185" spans="1:10" ht="12.5">
      <c r="A185" s="1" t="s">
        <v>590</v>
      </c>
      <c r="B185" s="4">
        <v>45719</v>
      </c>
      <c r="C185" s="1" t="s">
        <v>29</v>
      </c>
      <c r="D185" s="1" t="s">
        <v>24</v>
      </c>
      <c r="E185" s="1" t="s">
        <v>96</v>
      </c>
      <c r="F185" s="1" t="s">
        <v>50</v>
      </c>
      <c r="G185" s="1" t="s">
        <v>160</v>
      </c>
      <c r="H185" s="1">
        <v>10</v>
      </c>
      <c r="I185" s="1" t="s">
        <v>591</v>
      </c>
      <c r="J185" s="1" t="s">
        <v>592</v>
      </c>
    </row>
    <row r="186" spans="1:10" ht="12.5">
      <c r="A186" s="1" t="s">
        <v>593</v>
      </c>
      <c r="B186" s="4">
        <v>45720</v>
      </c>
      <c r="C186" s="1" t="s">
        <v>169</v>
      </c>
      <c r="D186" s="1" t="s">
        <v>13</v>
      </c>
      <c r="E186" s="1" t="s">
        <v>178</v>
      </c>
      <c r="F186" s="1" t="s">
        <v>31</v>
      </c>
      <c r="G186" s="1" t="s">
        <v>32</v>
      </c>
      <c r="H186" s="1">
        <v>1</v>
      </c>
      <c r="I186" s="1" t="s">
        <v>594</v>
      </c>
      <c r="J186" s="1" t="s">
        <v>595</v>
      </c>
    </row>
    <row r="187" spans="1:10" ht="12.5">
      <c r="A187" s="1" t="s">
        <v>596</v>
      </c>
      <c r="B187" s="4">
        <v>45721</v>
      </c>
      <c r="C187" s="1" t="s">
        <v>159</v>
      </c>
      <c r="D187" s="1" t="s">
        <v>48</v>
      </c>
      <c r="E187" s="1" t="s">
        <v>62</v>
      </c>
      <c r="F187" s="1" t="s">
        <v>31</v>
      </c>
      <c r="G187" s="1" t="s">
        <v>160</v>
      </c>
      <c r="H187" s="1">
        <v>2</v>
      </c>
      <c r="I187" s="1" t="s">
        <v>597</v>
      </c>
      <c r="J187" s="1" t="s">
        <v>598</v>
      </c>
    </row>
    <row r="188" spans="1:10" ht="12.5">
      <c r="A188" s="1" t="s">
        <v>599</v>
      </c>
      <c r="B188" s="4">
        <v>45721</v>
      </c>
      <c r="C188" s="1" t="s">
        <v>70</v>
      </c>
      <c r="D188" s="1" t="s">
        <v>24</v>
      </c>
      <c r="E188" s="1" t="s">
        <v>178</v>
      </c>
      <c r="F188" s="1" t="s">
        <v>31</v>
      </c>
      <c r="G188" s="1" t="s">
        <v>32</v>
      </c>
      <c r="H188" s="1">
        <v>10</v>
      </c>
      <c r="I188" s="1" t="s">
        <v>600</v>
      </c>
      <c r="J188" s="1" t="s">
        <v>601</v>
      </c>
    </row>
    <row r="189" spans="1:10" ht="12.5">
      <c r="A189" s="1" t="s">
        <v>602</v>
      </c>
      <c r="B189" s="4">
        <v>45721</v>
      </c>
      <c r="C189" s="1" t="s">
        <v>85</v>
      </c>
      <c r="D189" s="1" t="s">
        <v>13</v>
      </c>
      <c r="E189" s="1" t="s">
        <v>178</v>
      </c>
      <c r="F189" s="1" t="s">
        <v>31</v>
      </c>
      <c r="G189" s="1" t="s">
        <v>82</v>
      </c>
      <c r="H189" s="1">
        <v>2</v>
      </c>
      <c r="I189" s="1" t="s">
        <v>603</v>
      </c>
      <c r="J189" s="1" t="s">
        <v>604</v>
      </c>
    </row>
    <row r="190" spans="1:10" ht="12.5">
      <c r="A190" s="1" t="s">
        <v>605</v>
      </c>
      <c r="B190" s="4">
        <v>45722</v>
      </c>
      <c r="C190" s="1" t="s">
        <v>79</v>
      </c>
      <c r="D190" s="1" t="s">
        <v>24</v>
      </c>
      <c r="E190" s="1" t="s">
        <v>25</v>
      </c>
      <c r="F190" s="1" t="s">
        <v>15</v>
      </c>
      <c r="G190" s="1" t="s">
        <v>39</v>
      </c>
      <c r="H190" s="1">
        <v>5</v>
      </c>
      <c r="I190" s="1" t="s">
        <v>606</v>
      </c>
      <c r="J190" s="1" t="s">
        <v>607</v>
      </c>
    </row>
    <row r="191" spans="1:10" ht="12.5">
      <c r="A191" s="1" t="s">
        <v>608</v>
      </c>
      <c r="B191" s="4">
        <v>45722</v>
      </c>
      <c r="C191" s="1" t="s">
        <v>326</v>
      </c>
      <c r="D191" s="1" t="s">
        <v>13</v>
      </c>
      <c r="E191" s="1" t="s">
        <v>67</v>
      </c>
      <c r="F191" s="1" t="s">
        <v>52</v>
      </c>
      <c r="G191" s="1" t="s">
        <v>32</v>
      </c>
      <c r="H191" s="1">
        <v>2</v>
      </c>
      <c r="I191" s="1" t="s">
        <v>609</v>
      </c>
      <c r="J191" s="1" t="s">
        <v>610</v>
      </c>
    </row>
    <row r="192" spans="1:10" ht="12.5">
      <c r="A192" s="1" t="s">
        <v>611</v>
      </c>
      <c r="B192" s="4">
        <v>45723</v>
      </c>
      <c r="C192" s="1" t="s">
        <v>42</v>
      </c>
      <c r="D192" s="1" t="s">
        <v>24</v>
      </c>
      <c r="E192" s="1" t="s">
        <v>14</v>
      </c>
      <c r="F192" s="1" t="s">
        <v>15</v>
      </c>
      <c r="G192" s="1" t="s">
        <v>39</v>
      </c>
      <c r="H192" s="1">
        <v>1</v>
      </c>
      <c r="I192" s="1" t="s">
        <v>612</v>
      </c>
      <c r="J192" s="1" t="s">
        <v>612</v>
      </c>
    </row>
    <row r="193" spans="1:10" ht="12.5">
      <c r="A193" s="1" t="s">
        <v>613</v>
      </c>
      <c r="B193" s="4">
        <v>45724</v>
      </c>
      <c r="C193" s="1" t="s">
        <v>146</v>
      </c>
      <c r="D193" s="1" t="s">
        <v>24</v>
      </c>
      <c r="E193" s="1" t="s">
        <v>178</v>
      </c>
      <c r="F193" s="1" t="s">
        <v>31</v>
      </c>
      <c r="G193" s="1" t="s">
        <v>86</v>
      </c>
      <c r="H193" s="1">
        <v>1</v>
      </c>
      <c r="I193" s="1" t="s">
        <v>614</v>
      </c>
      <c r="J193" s="1" t="s">
        <v>614</v>
      </c>
    </row>
    <row r="194" spans="1:10" ht="12.5">
      <c r="A194" s="1" t="s">
        <v>615</v>
      </c>
      <c r="B194" s="4">
        <v>45724</v>
      </c>
      <c r="C194" s="1" t="s">
        <v>435</v>
      </c>
      <c r="D194" s="1" t="s">
        <v>48</v>
      </c>
      <c r="E194" s="1" t="s">
        <v>96</v>
      </c>
      <c r="F194" s="1" t="s">
        <v>50</v>
      </c>
      <c r="G194" s="1" t="s">
        <v>32</v>
      </c>
      <c r="H194" s="1">
        <v>5</v>
      </c>
      <c r="I194" s="1" t="s">
        <v>616</v>
      </c>
      <c r="J194" s="22">
        <v>98008</v>
      </c>
    </row>
    <row r="195" spans="1:10" ht="12.5">
      <c r="A195" s="1" t="s">
        <v>617</v>
      </c>
      <c r="B195" s="4">
        <v>45724</v>
      </c>
      <c r="C195" s="1" t="s">
        <v>250</v>
      </c>
      <c r="D195" s="1" t="s">
        <v>24</v>
      </c>
      <c r="E195" s="1" t="s">
        <v>163</v>
      </c>
      <c r="F195" s="1" t="s">
        <v>50</v>
      </c>
      <c r="G195" s="1" t="s">
        <v>17</v>
      </c>
      <c r="H195" s="1">
        <v>1</v>
      </c>
      <c r="I195" s="1" t="s">
        <v>618</v>
      </c>
      <c r="J195" s="1" t="s">
        <v>618</v>
      </c>
    </row>
    <row r="196" spans="1:10" ht="12.5">
      <c r="A196" s="1" t="s">
        <v>314</v>
      </c>
      <c r="B196" s="4">
        <v>45725</v>
      </c>
      <c r="C196" s="1" t="s">
        <v>315</v>
      </c>
      <c r="D196" s="1" t="s">
        <v>48</v>
      </c>
      <c r="E196" s="1" t="s">
        <v>178</v>
      </c>
      <c r="F196" s="1" t="s">
        <v>31</v>
      </c>
      <c r="G196" s="1" t="s">
        <v>32</v>
      </c>
      <c r="H196" s="1">
        <v>1</v>
      </c>
      <c r="I196" s="1" t="s">
        <v>319</v>
      </c>
      <c r="J196" s="1" t="s">
        <v>320</v>
      </c>
    </row>
    <row r="197" spans="1:10" ht="12.5">
      <c r="A197" s="1" t="s">
        <v>619</v>
      </c>
      <c r="B197" s="4">
        <v>45725</v>
      </c>
      <c r="C197" s="1" t="s">
        <v>46</v>
      </c>
      <c r="D197" s="1" t="s">
        <v>24</v>
      </c>
      <c r="E197" s="1" t="s">
        <v>30</v>
      </c>
      <c r="F197" s="1" t="s">
        <v>31</v>
      </c>
      <c r="G197" s="1" t="s">
        <v>39</v>
      </c>
      <c r="H197" s="1">
        <v>5</v>
      </c>
      <c r="I197" s="1" t="s">
        <v>620</v>
      </c>
      <c r="J197" s="1" t="s">
        <v>621</v>
      </c>
    </row>
    <row r="198" spans="1:10" ht="12.5">
      <c r="A198" s="1" t="s">
        <v>622</v>
      </c>
      <c r="B198" s="4">
        <v>45725</v>
      </c>
      <c r="C198" s="1" t="s">
        <v>79</v>
      </c>
      <c r="D198" s="1" t="s">
        <v>13</v>
      </c>
      <c r="E198" s="1" t="s">
        <v>25</v>
      </c>
      <c r="F198" s="1" t="s">
        <v>15</v>
      </c>
      <c r="G198" s="1" t="s">
        <v>71</v>
      </c>
      <c r="H198" s="1">
        <v>2</v>
      </c>
      <c r="I198" s="1" t="s">
        <v>623</v>
      </c>
      <c r="J198" s="1" t="s">
        <v>624</v>
      </c>
    </row>
    <row r="199" spans="1:10" ht="12.5">
      <c r="A199" s="1" t="s">
        <v>625</v>
      </c>
      <c r="B199" s="4">
        <v>45726</v>
      </c>
      <c r="C199" s="1" t="s">
        <v>23</v>
      </c>
      <c r="D199" s="1" t="s">
        <v>13</v>
      </c>
      <c r="E199" s="1" t="s">
        <v>67</v>
      </c>
      <c r="F199" s="1" t="s">
        <v>52</v>
      </c>
      <c r="G199" s="1" t="s">
        <v>32</v>
      </c>
      <c r="H199" s="1">
        <v>2</v>
      </c>
      <c r="I199" s="1" t="s">
        <v>626</v>
      </c>
      <c r="J199" s="1" t="s">
        <v>628</v>
      </c>
    </row>
    <row r="200" spans="1:10" ht="12.5">
      <c r="A200" s="1" t="s">
        <v>629</v>
      </c>
      <c r="B200" s="4">
        <v>45727</v>
      </c>
      <c r="C200" s="1" t="s">
        <v>23</v>
      </c>
      <c r="D200" s="1" t="s">
        <v>13</v>
      </c>
      <c r="E200" s="1" t="s">
        <v>178</v>
      </c>
      <c r="F200" s="1" t="s">
        <v>31</v>
      </c>
      <c r="G200" s="1" t="s">
        <v>71</v>
      </c>
      <c r="H200" s="1">
        <v>5</v>
      </c>
      <c r="I200" s="1" t="s">
        <v>630</v>
      </c>
      <c r="J200" s="1" t="s">
        <v>631</v>
      </c>
    </row>
    <row r="201" spans="1:10" ht="12.5">
      <c r="A201" s="1" t="s">
        <v>633</v>
      </c>
      <c r="B201" s="4">
        <v>45727</v>
      </c>
      <c r="C201" s="1" t="s">
        <v>12</v>
      </c>
      <c r="D201" s="1" t="s">
        <v>13</v>
      </c>
      <c r="E201" s="1" t="s">
        <v>178</v>
      </c>
      <c r="F201" s="1" t="s">
        <v>31</v>
      </c>
      <c r="G201" s="1" t="s">
        <v>39</v>
      </c>
      <c r="H201" s="1">
        <v>2</v>
      </c>
      <c r="I201" s="1" t="s">
        <v>635</v>
      </c>
      <c r="J201" s="1" t="s">
        <v>636</v>
      </c>
    </row>
    <row r="202" spans="1:10" ht="12.5">
      <c r="A202" s="1" t="s">
        <v>637</v>
      </c>
      <c r="B202" s="4">
        <v>45728</v>
      </c>
      <c r="C202" s="1" t="s">
        <v>329</v>
      </c>
      <c r="D202" s="1" t="s">
        <v>48</v>
      </c>
      <c r="E202" s="1" t="s">
        <v>30</v>
      </c>
      <c r="F202" s="1" t="s">
        <v>31</v>
      </c>
      <c r="G202" s="1" t="s">
        <v>17</v>
      </c>
      <c r="H202" s="1">
        <v>1</v>
      </c>
      <c r="I202" s="1" t="s">
        <v>638</v>
      </c>
      <c r="J202" s="1" t="s">
        <v>639</v>
      </c>
    </row>
    <row r="203" spans="1:10" ht="12.5">
      <c r="A203" s="1" t="s">
        <v>640</v>
      </c>
      <c r="B203" s="4">
        <v>45728</v>
      </c>
      <c r="C203" s="1" t="s">
        <v>66</v>
      </c>
      <c r="D203" s="1" t="s">
        <v>48</v>
      </c>
      <c r="E203" s="1" t="s">
        <v>163</v>
      </c>
      <c r="F203" s="1" t="s">
        <v>50</v>
      </c>
      <c r="G203" s="1" t="s">
        <v>17</v>
      </c>
      <c r="H203" s="1">
        <v>20</v>
      </c>
      <c r="I203" s="1" t="s">
        <v>641</v>
      </c>
      <c r="J203" s="1" t="s">
        <v>642</v>
      </c>
    </row>
    <row r="204" spans="1:10" ht="12.5">
      <c r="A204" s="1" t="s">
        <v>643</v>
      </c>
      <c r="B204" s="4">
        <v>45728</v>
      </c>
      <c r="C204" s="1" t="s">
        <v>445</v>
      </c>
      <c r="D204" s="1" t="s">
        <v>117</v>
      </c>
      <c r="E204" s="1" t="s">
        <v>25</v>
      </c>
      <c r="F204" s="1" t="s">
        <v>15</v>
      </c>
      <c r="G204" s="1" t="s">
        <v>39</v>
      </c>
      <c r="H204" s="1">
        <v>10</v>
      </c>
      <c r="I204" s="1" t="s">
        <v>644</v>
      </c>
      <c r="J204" s="1" t="s">
        <v>645</v>
      </c>
    </row>
    <row r="205" spans="1:10" ht="12.5">
      <c r="A205" s="1" t="s">
        <v>646</v>
      </c>
      <c r="B205" s="4">
        <v>45728</v>
      </c>
      <c r="C205" s="1" t="s">
        <v>100</v>
      </c>
      <c r="D205" s="1" t="s">
        <v>58</v>
      </c>
      <c r="E205" s="1" t="s">
        <v>62</v>
      </c>
      <c r="F205" s="1" t="s">
        <v>31</v>
      </c>
      <c r="G205" s="1" t="s">
        <v>32</v>
      </c>
      <c r="H205" s="1">
        <v>20</v>
      </c>
      <c r="I205" s="1" t="s">
        <v>647</v>
      </c>
      <c r="J205" s="1" t="s">
        <v>648</v>
      </c>
    </row>
    <row r="206" spans="1:10" ht="12.5">
      <c r="A206" s="1" t="s">
        <v>649</v>
      </c>
      <c r="B206" s="4">
        <v>45729</v>
      </c>
      <c r="C206" s="1" t="s">
        <v>290</v>
      </c>
      <c r="D206" s="1" t="s">
        <v>13</v>
      </c>
      <c r="E206" s="1" t="s">
        <v>178</v>
      </c>
      <c r="F206" s="1" t="s">
        <v>31</v>
      </c>
      <c r="G206" s="1" t="s">
        <v>71</v>
      </c>
      <c r="H206" s="1">
        <v>1</v>
      </c>
      <c r="I206" s="1" t="s">
        <v>650</v>
      </c>
      <c r="J206" s="1" t="s">
        <v>651</v>
      </c>
    </row>
    <row r="207" spans="1:10" ht="12.5">
      <c r="A207" s="1" t="s">
        <v>652</v>
      </c>
      <c r="B207" s="4">
        <v>45729</v>
      </c>
      <c r="C207" s="1" t="s">
        <v>85</v>
      </c>
      <c r="D207" s="1" t="s">
        <v>24</v>
      </c>
      <c r="E207" s="1" t="s">
        <v>30</v>
      </c>
      <c r="F207" s="1" t="s">
        <v>31</v>
      </c>
      <c r="G207" s="1" t="s">
        <v>205</v>
      </c>
      <c r="H207" s="1">
        <v>10</v>
      </c>
      <c r="I207" s="1" t="s">
        <v>653</v>
      </c>
      <c r="J207" s="6" t="s">
        <v>654</v>
      </c>
    </row>
    <row r="208" spans="1:10" ht="12.5">
      <c r="A208" s="1" t="s">
        <v>655</v>
      </c>
      <c r="B208" s="4">
        <v>45729</v>
      </c>
      <c r="C208" s="1" t="s">
        <v>159</v>
      </c>
      <c r="D208" s="1" t="s">
        <v>13</v>
      </c>
      <c r="E208" s="1" t="s">
        <v>178</v>
      </c>
      <c r="F208" s="1" t="s">
        <v>31</v>
      </c>
      <c r="G208" s="1" t="s">
        <v>17</v>
      </c>
      <c r="H208" s="1">
        <v>2</v>
      </c>
      <c r="I208" s="1" t="s">
        <v>656</v>
      </c>
      <c r="J208" s="1" t="s">
        <v>657</v>
      </c>
    </row>
    <row r="209" spans="1:10" ht="12.5">
      <c r="A209" s="1" t="s">
        <v>658</v>
      </c>
      <c r="B209" s="4">
        <v>45729</v>
      </c>
      <c r="C209" s="1" t="s">
        <v>329</v>
      </c>
      <c r="D209" s="1" t="s">
        <v>48</v>
      </c>
      <c r="E209" s="1" t="s">
        <v>14</v>
      </c>
      <c r="F209" s="1" t="s">
        <v>15</v>
      </c>
      <c r="G209" s="1" t="s">
        <v>39</v>
      </c>
      <c r="H209" s="1">
        <v>1</v>
      </c>
      <c r="I209" s="1" t="s">
        <v>659</v>
      </c>
      <c r="J209" s="1" t="s">
        <v>659</v>
      </c>
    </row>
    <row r="210" spans="1:10" ht="12.5">
      <c r="A210" s="1" t="s">
        <v>660</v>
      </c>
      <c r="B210" s="4">
        <v>45730</v>
      </c>
      <c r="C210" s="1" t="s">
        <v>222</v>
      </c>
      <c r="D210" s="1" t="s">
        <v>58</v>
      </c>
      <c r="E210" s="1" t="s">
        <v>30</v>
      </c>
      <c r="F210" s="1" t="s">
        <v>31</v>
      </c>
      <c r="G210" s="1" t="s">
        <v>71</v>
      </c>
      <c r="H210" s="1">
        <v>1</v>
      </c>
      <c r="I210" s="1" t="s">
        <v>661</v>
      </c>
      <c r="J210" s="1" t="s">
        <v>661</v>
      </c>
    </row>
    <row r="211" spans="1:10" ht="12.5">
      <c r="A211" s="1" t="s">
        <v>662</v>
      </c>
      <c r="B211" s="4">
        <v>45730</v>
      </c>
      <c r="C211" s="1" t="s">
        <v>92</v>
      </c>
      <c r="D211" s="1" t="s">
        <v>24</v>
      </c>
      <c r="E211" s="1" t="s">
        <v>25</v>
      </c>
      <c r="F211" s="1" t="s">
        <v>15</v>
      </c>
      <c r="G211" s="1" t="s">
        <v>32</v>
      </c>
      <c r="H211" s="1">
        <v>1</v>
      </c>
      <c r="I211" s="1" t="s">
        <v>663</v>
      </c>
      <c r="J211" s="1" t="s">
        <v>663</v>
      </c>
    </row>
    <row r="212" spans="1:10" ht="12.5">
      <c r="A212" s="1" t="s">
        <v>664</v>
      </c>
      <c r="B212" s="4">
        <v>45731</v>
      </c>
      <c r="C212" s="1" t="s">
        <v>66</v>
      </c>
      <c r="D212" s="1" t="s">
        <v>24</v>
      </c>
      <c r="E212" s="1" t="s">
        <v>14</v>
      </c>
      <c r="F212" s="1" t="s">
        <v>15</v>
      </c>
      <c r="G212" s="1" t="s">
        <v>86</v>
      </c>
      <c r="H212" s="1">
        <v>2</v>
      </c>
      <c r="I212" s="1" t="s">
        <v>665</v>
      </c>
      <c r="J212" s="1" t="s">
        <v>666</v>
      </c>
    </row>
    <row r="213" spans="1:10" ht="12.5">
      <c r="A213" s="1" t="s">
        <v>667</v>
      </c>
      <c r="B213" s="4">
        <v>45731</v>
      </c>
      <c r="C213" s="1" t="s">
        <v>307</v>
      </c>
      <c r="D213" s="1" t="s">
        <v>24</v>
      </c>
      <c r="E213" s="1" t="s">
        <v>51</v>
      </c>
      <c r="F213" s="1" t="s">
        <v>52</v>
      </c>
      <c r="G213" s="1" t="s">
        <v>39</v>
      </c>
      <c r="H213" s="1">
        <v>1</v>
      </c>
      <c r="I213" s="1" t="s">
        <v>669</v>
      </c>
      <c r="J213" s="1" t="s">
        <v>670</v>
      </c>
    </row>
    <row r="214" spans="1:10" ht="12.5">
      <c r="A214" s="1" t="s">
        <v>671</v>
      </c>
      <c r="B214" s="4">
        <v>45732</v>
      </c>
      <c r="C214" s="1" t="s">
        <v>435</v>
      </c>
      <c r="D214" s="1" t="s">
        <v>37</v>
      </c>
      <c r="E214" s="1" t="s">
        <v>96</v>
      </c>
      <c r="F214" s="1" t="s">
        <v>50</v>
      </c>
      <c r="G214" s="1" t="s">
        <v>32</v>
      </c>
      <c r="H214" s="1">
        <v>20</v>
      </c>
      <c r="I214" s="1" t="s">
        <v>672</v>
      </c>
      <c r="J214" s="1" t="s">
        <v>673</v>
      </c>
    </row>
    <row r="215" spans="1:10" ht="12.5">
      <c r="A215" s="1" t="s">
        <v>674</v>
      </c>
      <c r="B215" s="4">
        <v>45732</v>
      </c>
      <c r="C215" s="1" t="s">
        <v>46</v>
      </c>
      <c r="D215" s="1" t="s">
        <v>13</v>
      </c>
      <c r="E215" s="1" t="s">
        <v>62</v>
      </c>
      <c r="F215" s="1" t="s">
        <v>31</v>
      </c>
      <c r="G215" s="1" t="s">
        <v>71</v>
      </c>
      <c r="H215" s="1">
        <v>10</v>
      </c>
      <c r="I215" s="1" t="s">
        <v>677</v>
      </c>
      <c r="J215" s="1" t="s">
        <v>678</v>
      </c>
    </row>
    <row r="216" spans="1:10" ht="12.5">
      <c r="A216" s="1" t="s">
        <v>679</v>
      </c>
      <c r="B216" s="4">
        <v>45733</v>
      </c>
      <c r="C216" s="1" t="s">
        <v>42</v>
      </c>
      <c r="D216" s="1" t="s">
        <v>117</v>
      </c>
      <c r="E216" s="1" t="s">
        <v>30</v>
      </c>
      <c r="F216" s="1" t="s">
        <v>31</v>
      </c>
      <c r="G216" s="1" t="s">
        <v>39</v>
      </c>
      <c r="H216" s="1">
        <v>2</v>
      </c>
      <c r="I216" s="1" t="s">
        <v>359</v>
      </c>
      <c r="J216" s="1" t="s">
        <v>680</v>
      </c>
    </row>
    <row r="217" spans="1:10" ht="12.5">
      <c r="A217" s="1" t="s">
        <v>681</v>
      </c>
      <c r="B217" s="4">
        <v>45733</v>
      </c>
      <c r="C217" s="1" t="s">
        <v>200</v>
      </c>
      <c r="D217" s="1" t="s">
        <v>48</v>
      </c>
      <c r="E217" s="1" t="s">
        <v>67</v>
      </c>
      <c r="F217" s="1" t="s">
        <v>52</v>
      </c>
      <c r="G217" s="1" t="s">
        <v>86</v>
      </c>
      <c r="H217" s="1">
        <v>1</v>
      </c>
      <c r="I217" s="1" t="s">
        <v>682</v>
      </c>
      <c r="J217" s="1" t="s">
        <v>682</v>
      </c>
    </row>
    <row r="218" spans="1:10" ht="12.5">
      <c r="A218" s="1" t="s">
        <v>683</v>
      </c>
      <c r="B218" s="4">
        <v>45733</v>
      </c>
      <c r="C218" s="1" t="s">
        <v>57</v>
      </c>
      <c r="D218" s="1" t="s">
        <v>37</v>
      </c>
      <c r="E218" s="1" t="s">
        <v>96</v>
      </c>
      <c r="F218" s="1" t="s">
        <v>50</v>
      </c>
      <c r="G218" s="1" t="s">
        <v>32</v>
      </c>
      <c r="H218" s="1">
        <v>1</v>
      </c>
      <c r="I218" s="1" t="s">
        <v>684</v>
      </c>
      <c r="J218" s="1" t="s">
        <v>684</v>
      </c>
    </row>
    <row r="219" spans="1:10" ht="12.5">
      <c r="A219" s="1" t="s">
        <v>685</v>
      </c>
      <c r="B219" s="4">
        <v>45733</v>
      </c>
      <c r="C219" s="1" t="s">
        <v>196</v>
      </c>
      <c r="D219" s="1" t="s">
        <v>13</v>
      </c>
      <c r="E219" s="1" t="s">
        <v>51</v>
      </c>
      <c r="F219" s="1" t="s">
        <v>52</v>
      </c>
      <c r="G219" s="1" t="s">
        <v>17</v>
      </c>
      <c r="H219" s="1">
        <v>2</v>
      </c>
      <c r="I219" s="1" t="s">
        <v>686</v>
      </c>
      <c r="J219" s="1" t="s">
        <v>687</v>
      </c>
    </row>
    <row r="220" spans="1:10" ht="12.5">
      <c r="A220" s="1" t="s">
        <v>688</v>
      </c>
      <c r="B220" s="4">
        <v>45733</v>
      </c>
      <c r="C220" s="1" t="s">
        <v>100</v>
      </c>
      <c r="D220" s="1" t="s">
        <v>13</v>
      </c>
      <c r="E220" s="1" t="s">
        <v>163</v>
      </c>
      <c r="F220" s="1" t="s">
        <v>50</v>
      </c>
      <c r="G220" s="1" t="s">
        <v>205</v>
      </c>
      <c r="H220" s="1">
        <v>1</v>
      </c>
      <c r="I220" s="1" t="s">
        <v>689</v>
      </c>
      <c r="J220" s="1" t="s">
        <v>690</v>
      </c>
    </row>
    <row r="221" spans="1:10" ht="12.5">
      <c r="A221" s="1" t="s">
        <v>691</v>
      </c>
      <c r="B221" s="4">
        <v>45734</v>
      </c>
      <c r="C221" s="1" t="s">
        <v>47</v>
      </c>
      <c r="D221" s="1" t="s">
        <v>13</v>
      </c>
      <c r="E221" s="1" t="s">
        <v>62</v>
      </c>
      <c r="F221" s="1" t="s">
        <v>31</v>
      </c>
      <c r="G221" s="1" t="s">
        <v>17</v>
      </c>
      <c r="H221" s="1">
        <v>5</v>
      </c>
      <c r="I221" s="1" t="s">
        <v>692</v>
      </c>
      <c r="J221" s="1" t="s">
        <v>693</v>
      </c>
    </row>
    <row r="222" spans="1:10" ht="12.5">
      <c r="A222" s="1" t="s">
        <v>694</v>
      </c>
      <c r="B222" s="4">
        <v>45734</v>
      </c>
      <c r="C222" s="1" t="s">
        <v>215</v>
      </c>
      <c r="D222" s="1" t="s">
        <v>13</v>
      </c>
      <c r="E222" s="1" t="s">
        <v>163</v>
      </c>
      <c r="F222" s="1" t="s">
        <v>50</v>
      </c>
      <c r="G222" s="1" t="s">
        <v>86</v>
      </c>
      <c r="H222" s="1">
        <v>2</v>
      </c>
      <c r="I222" s="1" t="s">
        <v>696</v>
      </c>
      <c r="J222" s="1" t="s">
        <v>697</v>
      </c>
    </row>
    <row r="223" spans="1:10" ht="12.5">
      <c r="A223" s="1" t="s">
        <v>698</v>
      </c>
      <c r="B223" s="4">
        <v>45735</v>
      </c>
      <c r="C223" s="1" t="s">
        <v>159</v>
      </c>
      <c r="D223" s="1" t="s">
        <v>58</v>
      </c>
      <c r="E223" s="1" t="s">
        <v>49</v>
      </c>
      <c r="F223" s="1" t="s">
        <v>50</v>
      </c>
      <c r="G223" s="1" t="s">
        <v>17</v>
      </c>
      <c r="H223" s="1">
        <v>2</v>
      </c>
      <c r="I223" s="6" t="s">
        <v>700</v>
      </c>
      <c r="J223" s="1" t="s">
        <v>701</v>
      </c>
    </row>
    <row r="224" spans="1:10" ht="12.5">
      <c r="A224" s="1" t="s">
        <v>702</v>
      </c>
      <c r="B224" s="4">
        <v>45735</v>
      </c>
      <c r="C224" s="1" t="s">
        <v>142</v>
      </c>
      <c r="D224" s="1" t="s">
        <v>37</v>
      </c>
      <c r="E224" s="1" t="s">
        <v>107</v>
      </c>
      <c r="F224" s="1" t="s">
        <v>52</v>
      </c>
      <c r="G224" s="1" t="s">
        <v>71</v>
      </c>
      <c r="H224" s="1">
        <v>10</v>
      </c>
      <c r="I224" s="1" t="s">
        <v>704</v>
      </c>
      <c r="J224" s="1" t="s">
        <v>705</v>
      </c>
    </row>
    <row r="225" spans="1:10" ht="12.5">
      <c r="A225" s="1" t="s">
        <v>706</v>
      </c>
      <c r="B225" s="4">
        <v>45735</v>
      </c>
      <c r="C225" s="1" t="s">
        <v>250</v>
      </c>
      <c r="D225" s="1" t="s">
        <v>24</v>
      </c>
      <c r="E225" s="1" t="s">
        <v>67</v>
      </c>
      <c r="F225" s="1" t="s">
        <v>52</v>
      </c>
      <c r="G225" s="1" t="s">
        <v>71</v>
      </c>
      <c r="H225" s="1">
        <v>1</v>
      </c>
      <c r="I225" s="1" t="s">
        <v>707</v>
      </c>
      <c r="J225" s="1" t="s">
        <v>707</v>
      </c>
    </row>
    <row r="226" spans="1:10" ht="12.5">
      <c r="A226" s="1" t="s">
        <v>708</v>
      </c>
      <c r="B226" s="4">
        <v>45736</v>
      </c>
      <c r="C226" s="1" t="s">
        <v>46</v>
      </c>
      <c r="D226" s="1" t="s">
        <v>117</v>
      </c>
      <c r="E226" s="1" t="s">
        <v>178</v>
      </c>
      <c r="F226" s="1" t="s">
        <v>31</v>
      </c>
      <c r="G226" s="1" t="s">
        <v>71</v>
      </c>
      <c r="H226" s="1">
        <v>5</v>
      </c>
      <c r="I226" s="1" t="s">
        <v>709</v>
      </c>
      <c r="J226" s="1" t="s">
        <v>710</v>
      </c>
    </row>
    <row r="227" spans="1:10" ht="12.5">
      <c r="A227" s="1" t="s">
        <v>711</v>
      </c>
      <c r="B227" s="4">
        <v>45736</v>
      </c>
      <c r="C227" s="1" t="s">
        <v>182</v>
      </c>
      <c r="D227" s="1" t="s">
        <v>48</v>
      </c>
      <c r="E227" s="1" t="s">
        <v>30</v>
      </c>
      <c r="F227" s="1" t="s">
        <v>31</v>
      </c>
      <c r="G227" s="1" t="s">
        <v>39</v>
      </c>
      <c r="H227" s="1">
        <v>2</v>
      </c>
      <c r="I227" s="1" t="s">
        <v>712</v>
      </c>
      <c r="J227" s="1" t="s">
        <v>713</v>
      </c>
    </row>
    <row r="228" spans="1:10" ht="12.5">
      <c r="A228" s="1" t="s">
        <v>714</v>
      </c>
      <c r="B228" s="4">
        <v>45736</v>
      </c>
      <c r="C228" s="1" t="s">
        <v>329</v>
      </c>
      <c r="D228" s="1" t="s">
        <v>13</v>
      </c>
      <c r="E228" s="1" t="s">
        <v>38</v>
      </c>
      <c r="F228" s="1" t="s">
        <v>15</v>
      </c>
      <c r="G228" s="1" t="s">
        <v>71</v>
      </c>
      <c r="H228" s="1">
        <v>5</v>
      </c>
      <c r="I228" s="1" t="s">
        <v>715</v>
      </c>
      <c r="J228" s="1" t="s">
        <v>716</v>
      </c>
    </row>
    <row r="229" spans="1:10" ht="12.5">
      <c r="A229" s="1" t="s">
        <v>717</v>
      </c>
      <c r="B229" s="4">
        <v>45736</v>
      </c>
      <c r="C229" s="1" t="s">
        <v>222</v>
      </c>
      <c r="D229" s="1" t="s">
        <v>117</v>
      </c>
      <c r="E229" s="1" t="s">
        <v>25</v>
      </c>
      <c r="F229" s="1" t="s">
        <v>15</v>
      </c>
      <c r="G229" s="1" t="s">
        <v>71</v>
      </c>
      <c r="H229" s="1">
        <v>1</v>
      </c>
      <c r="I229" s="1" t="s">
        <v>718</v>
      </c>
      <c r="J229" s="1" t="s">
        <v>718</v>
      </c>
    </row>
    <row r="230" spans="1:10" ht="12.5">
      <c r="A230" s="1" t="s">
        <v>719</v>
      </c>
      <c r="B230" s="4">
        <v>45737</v>
      </c>
      <c r="C230" s="1" t="s">
        <v>61</v>
      </c>
      <c r="D230" s="1" t="s">
        <v>24</v>
      </c>
      <c r="E230" s="1" t="s">
        <v>178</v>
      </c>
      <c r="F230" s="1" t="s">
        <v>31</v>
      </c>
      <c r="G230" s="1" t="s">
        <v>71</v>
      </c>
      <c r="H230" s="1">
        <v>1</v>
      </c>
      <c r="I230" s="1" t="s">
        <v>720</v>
      </c>
      <c r="J230" s="1" t="s">
        <v>720</v>
      </c>
    </row>
    <row r="231" spans="1:10" ht="12.5">
      <c r="A231" s="1" t="s">
        <v>721</v>
      </c>
      <c r="B231" s="4">
        <v>45737</v>
      </c>
      <c r="C231" s="1" t="s">
        <v>159</v>
      </c>
      <c r="D231" s="1" t="s">
        <v>24</v>
      </c>
      <c r="E231" s="1" t="s">
        <v>178</v>
      </c>
      <c r="F231" s="1" t="s">
        <v>31</v>
      </c>
      <c r="G231" s="1" t="s">
        <v>71</v>
      </c>
      <c r="H231" s="1">
        <v>2</v>
      </c>
      <c r="I231" s="1" t="s">
        <v>722</v>
      </c>
      <c r="J231" s="1" t="s">
        <v>723</v>
      </c>
    </row>
    <row r="232" spans="1:10" ht="12.5">
      <c r="A232" s="1" t="s">
        <v>724</v>
      </c>
      <c r="B232" s="4">
        <v>45738</v>
      </c>
      <c r="C232" s="1" t="s">
        <v>169</v>
      </c>
      <c r="D232" s="1" t="s">
        <v>37</v>
      </c>
      <c r="E232" s="1" t="s">
        <v>14</v>
      </c>
      <c r="F232" s="1" t="s">
        <v>15</v>
      </c>
      <c r="G232" s="1" t="s">
        <v>17</v>
      </c>
      <c r="H232" s="1">
        <v>1</v>
      </c>
      <c r="I232" s="1" t="s">
        <v>725</v>
      </c>
      <c r="J232" s="1" t="s">
        <v>725</v>
      </c>
    </row>
    <row r="233" spans="1:10" ht="12.5">
      <c r="A233" s="1" t="s">
        <v>726</v>
      </c>
      <c r="B233" s="4">
        <v>45738</v>
      </c>
      <c r="C233" s="1" t="s">
        <v>445</v>
      </c>
      <c r="D233" s="1" t="s">
        <v>48</v>
      </c>
      <c r="E233" s="1" t="s">
        <v>30</v>
      </c>
      <c r="F233" s="1" t="s">
        <v>31</v>
      </c>
      <c r="G233" s="1" t="s">
        <v>39</v>
      </c>
      <c r="H233" s="1">
        <v>1</v>
      </c>
      <c r="I233" s="1" t="s">
        <v>727</v>
      </c>
      <c r="J233" s="1" t="s">
        <v>727</v>
      </c>
    </row>
    <row r="234" spans="1:10" ht="12.5">
      <c r="A234" s="1" t="s">
        <v>728</v>
      </c>
      <c r="B234" s="4">
        <v>45739</v>
      </c>
      <c r="C234" s="1" t="s">
        <v>70</v>
      </c>
      <c r="D234" s="1" t="s">
        <v>24</v>
      </c>
      <c r="E234" s="1" t="s">
        <v>51</v>
      </c>
      <c r="F234" s="1" t="s">
        <v>52</v>
      </c>
      <c r="G234" s="1" t="s">
        <v>32</v>
      </c>
      <c r="H234" s="1">
        <v>1</v>
      </c>
      <c r="I234" s="1" t="s">
        <v>729</v>
      </c>
      <c r="J234" s="1" t="s">
        <v>729</v>
      </c>
    </row>
    <row r="235" spans="1:10" ht="12.5">
      <c r="A235" s="1" t="s">
        <v>730</v>
      </c>
      <c r="B235" s="4">
        <v>45739</v>
      </c>
      <c r="C235" s="1" t="s">
        <v>215</v>
      </c>
      <c r="D235" s="1" t="s">
        <v>24</v>
      </c>
      <c r="E235" s="1" t="s">
        <v>30</v>
      </c>
      <c r="F235" s="1" t="s">
        <v>31</v>
      </c>
      <c r="G235" s="1" t="s">
        <v>39</v>
      </c>
      <c r="H235" s="1">
        <v>2</v>
      </c>
      <c r="I235" s="1" t="s">
        <v>731</v>
      </c>
      <c r="J235" s="1" t="s">
        <v>732</v>
      </c>
    </row>
    <row r="236" spans="1:10" ht="12.5">
      <c r="A236" s="1" t="s">
        <v>733</v>
      </c>
      <c r="B236" s="4">
        <v>45740</v>
      </c>
      <c r="C236" s="1" t="s">
        <v>169</v>
      </c>
      <c r="D236" s="1" t="s">
        <v>13</v>
      </c>
      <c r="E236" s="1" t="s">
        <v>67</v>
      </c>
      <c r="F236" s="1" t="s">
        <v>52</v>
      </c>
      <c r="G236" s="1" t="s">
        <v>39</v>
      </c>
      <c r="H236" s="1">
        <v>50</v>
      </c>
      <c r="I236" s="1" t="s">
        <v>734</v>
      </c>
      <c r="J236" s="1" t="s">
        <v>735</v>
      </c>
    </row>
    <row r="237" spans="1:10" ht="12.5">
      <c r="A237" s="1" t="s">
        <v>736</v>
      </c>
      <c r="B237" s="4">
        <v>45740</v>
      </c>
      <c r="C237" s="1" t="s">
        <v>329</v>
      </c>
      <c r="D237" s="1" t="s">
        <v>24</v>
      </c>
      <c r="E237" s="1" t="s">
        <v>163</v>
      </c>
      <c r="F237" s="1" t="s">
        <v>50</v>
      </c>
      <c r="G237" s="1" t="s">
        <v>71</v>
      </c>
      <c r="H237" s="1">
        <v>20</v>
      </c>
      <c r="I237" s="1" t="s">
        <v>737</v>
      </c>
      <c r="J237" s="1" t="s">
        <v>738</v>
      </c>
    </row>
    <row r="238" spans="1:10" ht="12.5">
      <c r="A238" s="1" t="s">
        <v>739</v>
      </c>
      <c r="B238" s="4">
        <v>45740</v>
      </c>
      <c r="C238" s="1" t="s">
        <v>106</v>
      </c>
      <c r="D238" s="1" t="s">
        <v>13</v>
      </c>
      <c r="E238" s="1" t="s">
        <v>14</v>
      </c>
      <c r="F238" s="1" t="s">
        <v>15</v>
      </c>
      <c r="G238" s="1" t="s">
        <v>71</v>
      </c>
      <c r="H238" s="1">
        <v>1</v>
      </c>
      <c r="I238" s="1" t="s">
        <v>740</v>
      </c>
      <c r="J238" s="1" t="s">
        <v>741</v>
      </c>
    </row>
    <row r="239" spans="1:10" ht="12.5">
      <c r="A239" s="1" t="s">
        <v>742</v>
      </c>
      <c r="B239" s="4">
        <v>45740</v>
      </c>
      <c r="C239" s="1" t="s">
        <v>42</v>
      </c>
      <c r="D239" s="1" t="s">
        <v>24</v>
      </c>
      <c r="E239" s="1" t="s">
        <v>67</v>
      </c>
      <c r="F239" s="1" t="s">
        <v>52</v>
      </c>
      <c r="G239" s="1" t="s">
        <v>32</v>
      </c>
      <c r="H239" s="1">
        <v>1</v>
      </c>
      <c r="I239" s="1" t="s">
        <v>743</v>
      </c>
      <c r="J239" s="1" t="s">
        <v>743</v>
      </c>
    </row>
    <row r="240" spans="1:10" ht="12.5">
      <c r="A240" s="1" t="s">
        <v>548</v>
      </c>
      <c r="B240" s="4">
        <v>45741</v>
      </c>
      <c r="C240" s="1" t="s">
        <v>46</v>
      </c>
      <c r="D240" s="1" t="s">
        <v>58</v>
      </c>
      <c r="E240" s="1" t="s">
        <v>25</v>
      </c>
      <c r="F240" s="1" t="s">
        <v>15</v>
      </c>
      <c r="G240" s="1" t="s">
        <v>82</v>
      </c>
      <c r="H240" s="1">
        <v>1</v>
      </c>
      <c r="I240" s="1" t="s">
        <v>552</v>
      </c>
      <c r="J240" s="1" t="s">
        <v>554</v>
      </c>
    </row>
    <row r="241" spans="1:10" ht="12.5">
      <c r="A241" s="1" t="s">
        <v>627</v>
      </c>
      <c r="B241" s="4">
        <v>45742</v>
      </c>
      <c r="C241" s="1" t="s">
        <v>250</v>
      </c>
      <c r="D241" s="1" t="s">
        <v>37</v>
      </c>
      <c r="E241" s="1" t="s">
        <v>107</v>
      </c>
      <c r="F241" s="1" t="s">
        <v>52</v>
      </c>
      <c r="G241" s="1" t="s">
        <v>39</v>
      </c>
      <c r="H241" s="1">
        <v>2</v>
      </c>
      <c r="I241" s="1" t="s">
        <v>632</v>
      </c>
      <c r="J241" s="1" t="s">
        <v>634</v>
      </c>
    </row>
    <row r="242" spans="1:10" ht="12.5">
      <c r="A242" s="1" t="s">
        <v>744</v>
      </c>
      <c r="B242" s="4">
        <v>45742</v>
      </c>
      <c r="C242" s="1" t="s">
        <v>23</v>
      </c>
      <c r="D242" s="1" t="s">
        <v>117</v>
      </c>
      <c r="E242" s="1" t="s">
        <v>14</v>
      </c>
      <c r="F242" s="1" t="s">
        <v>15</v>
      </c>
      <c r="G242" s="1" t="s">
        <v>39</v>
      </c>
      <c r="H242" s="1">
        <v>1</v>
      </c>
      <c r="I242" s="1" t="s">
        <v>745</v>
      </c>
      <c r="J242" s="1" t="s">
        <v>745</v>
      </c>
    </row>
    <row r="243" spans="1:10" ht="12.5">
      <c r="A243" s="1" t="s">
        <v>746</v>
      </c>
      <c r="B243" s="4">
        <v>45742</v>
      </c>
      <c r="C243" s="1" t="s">
        <v>46</v>
      </c>
      <c r="D243" s="1" t="s">
        <v>13</v>
      </c>
      <c r="E243" s="1" t="s">
        <v>51</v>
      </c>
      <c r="F243" s="1" t="s">
        <v>52</v>
      </c>
      <c r="G243" s="1" t="s">
        <v>39</v>
      </c>
      <c r="H243" s="1">
        <v>1</v>
      </c>
      <c r="I243" s="1" t="s">
        <v>747</v>
      </c>
      <c r="J243" s="1" t="s">
        <v>748</v>
      </c>
    </row>
    <row r="244" spans="1:10" ht="12.5">
      <c r="A244" s="1" t="s">
        <v>749</v>
      </c>
      <c r="B244" s="4">
        <v>45743</v>
      </c>
      <c r="C244" s="1" t="s">
        <v>70</v>
      </c>
      <c r="D244" s="1" t="s">
        <v>48</v>
      </c>
      <c r="E244" s="1" t="s">
        <v>51</v>
      </c>
      <c r="F244" s="1" t="s">
        <v>52</v>
      </c>
      <c r="G244" s="1" t="s">
        <v>39</v>
      </c>
      <c r="H244" s="1">
        <v>2</v>
      </c>
      <c r="I244" s="1" t="s">
        <v>750</v>
      </c>
      <c r="J244" s="1" t="s">
        <v>751</v>
      </c>
    </row>
    <row r="245" spans="1:10" ht="12.5">
      <c r="A245" s="1" t="s">
        <v>570</v>
      </c>
      <c r="B245" s="4">
        <v>45744</v>
      </c>
      <c r="C245" s="1" t="s">
        <v>106</v>
      </c>
      <c r="D245" s="1" t="s">
        <v>13</v>
      </c>
      <c r="E245" s="1" t="s">
        <v>25</v>
      </c>
      <c r="F245" s="1" t="s">
        <v>15</v>
      </c>
      <c r="G245" s="1" t="s">
        <v>71</v>
      </c>
      <c r="H245" s="1">
        <v>1</v>
      </c>
      <c r="I245" s="1" t="s">
        <v>574</v>
      </c>
      <c r="J245" s="1" t="s">
        <v>574</v>
      </c>
    </row>
    <row r="246" spans="1:10" ht="12.5">
      <c r="A246" s="1" t="s">
        <v>752</v>
      </c>
      <c r="B246" s="4">
        <v>45744</v>
      </c>
      <c r="C246" s="1" t="s">
        <v>142</v>
      </c>
      <c r="D246" s="1" t="s">
        <v>753</v>
      </c>
      <c r="E246" s="1" t="s">
        <v>67</v>
      </c>
      <c r="F246" s="1" t="s">
        <v>52</v>
      </c>
      <c r="G246" s="1" t="s">
        <v>32</v>
      </c>
      <c r="H246" s="1">
        <v>1</v>
      </c>
      <c r="I246" s="1" t="s">
        <v>754</v>
      </c>
      <c r="J246" s="1" t="s">
        <v>755</v>
      </c>
    </row>
    <row r="247" spans="1:10" ht="12.5">
      <c r="A247" s="1" t="s">
        <v>756</v>
      </c>
      <c r="B247" s="4">
        <v>45744</v>
      </c>
      <c r="C247" s="1" t="s">
        <v>445</v>
      </c>
      <c r="D247" s="1" t="s">
        <v>24</v>
      </c>
      <c r="E247" s="1" t="s">
        <v>14</v>
      </c>
      <c r="F247" s="1" t="s">
        <v>15</v>
      </c>
      <c r="G247" s="1" t="s">
        <v>32</v>
      </c>
      <c r="H247" s="1">
        <v>50</v>
      </c>
      <c r="I247" s="1" t="s">
        <v>757</v>
      </c>
      <c r="J247" s="1" t="s">
        <v>758</v>
      </c>
    </row>
    <row r="248" spans="1:10" ht="12.5">
      <c r="A248" s="1" t="s">
        <v>759</v>
      </c>
      <c r="B248" s="4">
        <v>45744</v>
      </c>
      <c r="C248" s="1" t="s">
        <v>146</v>
      </c>
      <c r="D248" s="1" t="s">
        <v>13</v>
      </c>
      <c r="E248" s="1" t="s">
        <v>51</v>
      </c>
      <c r="F248" s="1" t="s">
        <v>52</v>
      </c>
      <c r="G248" s="1" t="s">
        <v>71</v>
      </c>
      <c r="H248" s="1">
        <v>1</v>
      </c>
      <c r="I248" s="1" t="s">
        <v>760</v>
      </c>
      <c r="J248" s="1" t="s">
        <v>760</v>
      </c>
    </row>
    <row r="249" spans="1:10" ht="12.5">
      <c r="A249" s="1" t="s">
        <v>761</v>
      </c>
      <c r="B249" s="4">
        <v>45744</v>
      </c>
      <c r="C249" s="1" t="s">
        <v>70</v>
      </c>
      <c r="D249" s="1" t="s">
        <v>13</v>
      </c>
      <c r="E249" s="1" t="s">
        <v>62</v>
      </c>
      <c r="F249" s="1" t="s">
        <v>31</v>
      </c>
      <c r="G249" s="1" t="s">
        <v>39</v>
      </c>
      <c r="H249" s="1">
        <v>1</v>
      </c>
      <c r="I249" s="1" t="s">
        <v>762</v>
      </c>
      <c r="J249" s="1" t="s">
        <v>763</v>
      </c>
    </row>
    <row r="250" spans="1:10" ht="12.5">
      <c r="A250" s="1" t="s">
        <v>764</v>
      </c>
      <c r="B250" s="4">
        <v>45745</v>
      </c>
      <c r="C250" s="1" t="s">
        <v>135</v>
      </c>
      <c r="D250" s="1" t="s">
        <v>13</v>
      </c>
      <c r="E250" s="1" t="s">
        <v>14</v>
      </c>
      <c r="F250" s="1" t="s">
        <v>15</v>
      </c>
      <c r="G250" s="1" t="s">
        <v>32</v>
      </c>
      <c r="H250" s="1">
        <v>2</v>
      </c>
      <c r="I250" s="1" t="s">
        <v>765</v>
      </c>
      <c r="J250" s="1" t="s">
        <v>766</v>
      </c>
    </row>
    <row r="251" spans="1:10" ht="12.5">
      <c r="A251" s="1" t="s">
        <v>668</v>
      </c>
      <c r="B251" s="4">
        <v>45746</v>
      </c>
      <c r="C251" s="1" t="s">
        <v>42</v>
      </c>
      <c r="D251" s="1" t="s">
        <v>24</v>
      </c>
      <c r="E251" s="1" t="s">
        <v>178</v>
      </c>
      <c r="F251" s="1" t="s">
        <v>31</v>
      </c>
      <c r="G251" s="1" t="s">
        <v>82</v>
      </c>
      <c r="H251" s="1">
        <v>1</v>
      </c>
      <c r="I251" s="1" t="s">
        <v>675</v>
      </c>
      <c r="J251" s="1" t="s">
        <v>676</v>
      </c>
    </row>
    <row r="252" spans="1:10" ht="12.5">
      <c r="A252" s="1" t="s">
        <v>767</v>
      </c>
      <c r="B252" s="4">
        <v>45746</v>
      </c>
      <c r="C252" s="1" t="s">
        <v>122</v>
      </c>
      <c r="D252" s="1" t="s">
        <v>48</v>
      </c>
      <c r="E252" s="1" t="s">
        <v>96</v>
      </c>
      <c r="F252" s="1" t="s">
        <v>50</v>
      </c>
      <c r="G252" s="1" t="s">
        <v>17</v>
      </c>
      <c r="H252" s="1">
        <v>1</v>
      </c>
      <c r="I252" s="1" t="s">
        <v>768</v>
      </c>
      <c r="J252" s="1" t="s">
        <v>768</v>
      </c>
    </row>
    <row r="253" spans="1:10" ht="12.5">
      <c r="A253" s="1" t="s">
        <v>769</v>
      </c>
      <c r="B253" s="4">
        <v>45746</v>
      </c>
      <c r="C253" s="1" t="s">
        <v>326</v>
      </c>
      <c r="D253" s="1" t="s">
        <v>58</v>
      </c>
      <c r="E253" s="1" t="s">
        <v>30</v>
      </c>
      <c r="F253" s="1" t="s">
        <v>31</v>
      </c>
      <c r="G253" s="1" t="s">
        <v>32</v>
      </c>
      <c r="H253" s="1">
        <v>1</v>
      </c>
      <c r="I253" s="1" t="s">
        <v>770</v>
      </c>
      <c r="J253" s="1" t="s">
        <v>770</v>
      </c>
    </row>
    <row r="254" spans="1:10" ht="12.5">
      <c r="A254" s="1" t="s">
        <v>771</v>
      </c>
      <c r="B254" s="4">
        <v>45746</v>
      </c>
      <c r="C254" s="1" t="s">
        <v>445</v>
      </c>
      <c r="D254" s="1" t="s">
        <v>58</v>
      </c>
      <c r="E254" s="1" t="s">
        <v>107</v>
      </c>
      <c r="F254" s="1" t="s">
        <v>52</v>
      </c>
      <c r="G254" s="1" t="s">
        <v>39</v>
      </c>
      <c r="H254" s="1">
        <v>1</v>
      </c>
      <c r="I254" s="1" t="s">
        <v>772</v>
      </c>
      <c r="J254" s="1" t="s">
        <v>772</v>
      </c>
    </row>
    <row r="255" spans="1:10" ht="12.5">
      <c r="A255" s="1" t="s">
        <v>773</v>
      </c>
      <c r="B255" s="4">
        <v>45746</v>
      </c>
      <c r="C255" s="1" t="s">
        <v>445</v>
      </c>
      <c r="D255" s="1" t="s">
        <v>13</v>
      </c>
      <c r="E255" s="1" t="s">
        <v>30</v>
      </c>
      <c r="F255" s="1" t="s">
        <v>31</v>
      </c>
      <c r="G255" s="1" t="s">
        <v>39</v>
      </c>
      <c r="H255" s="1">
        <v>2</v>
      </c>
      <c r="I255" s="1" t="s">
        <v>774</v>
      </c>
      <c r="J255" s="1" t="s">
        <v>775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98"/>
  <sheetViews>
    <sheetView workbookViewId="0">
      <pane ySplit="1" topLeftCell="A2" activePane="bottomLeft" state="frozen"/>
      <selection pane="bottomLeft" activeCell="O2" sqref="O2"/>
    </sheetView>
  </sheetViews>
  <sheetFormatPr baseColWidth="10" defaultColWidth="12.6328125" defaultRowHeight="15.75" customHeight="1"/>
  <cols>
    <col min="1" max="1" width="8.54296875" bestFit="1" customWidth="1"/>
    <col min="2" max="2" width="10.08984375" bestFit="1" customWidth="1"/>
    <col min="3" max="3" width="15.453125" bestFit="1" customWidth="1"/>
    <col min="4" max="4" width="15.08984375" bestFit="1" customWidth="1"/>
    <col min="5" max="6" width="13.81640625" bestFit="1" customWidth="1"/>
    <col min="7" max="7" width="15.7265625" bestFit="1" customWidth="1"/>
    <col min="8" max="8" width="7" bestFit="1" customWidth="1"/>
    <col min="9" max="9" width="10.1796875" bestFit="1" customWidth="1"/>
    <col min="10" max="10" width="10" bestFit="1" customWidth="1"/>
    <col min="11" max="11" width="23.26953125" bestFit="1" customWidth="1"/>
    <col min="12" max="12" width="18.90625" bestFit="1" customWidth="1"/>
    <col min="13" max="13" width="16.6328125" bestFit="1" customWidth="1"/>
    <col min="14" max="14" width="18.26953125" bestFit="1" customWidth="1"/>
    <col min="15" max="15" width="18" style="5" bestFit="1" customWidth="1"/>
    <col min="16" max="16" width="8.36328125" customWidth="1"/>
    <col min="17" max="17" width="36.26953125" customWidth="1"/>
  </cols>
  <sheetData>
    <row r="1" spans="1:28" ht="15.75" customHeight="1">
      <c r="A1" s="3" t="s">
        <v>0</v>
      </c>
      <c r="B1" s="3" t="s">
        <v>2</v>
      </c>
      <c r="C1" s="3" t="s">
        <v>3</v>
      </c>
      <c r="D1" s="3" t="s">
        <v>4</v>
      </c>
      <c r="E1" s="3" t="s">
        <v>5</v>
      </c>
      <c r="F1" s="3" t="s">
        <v>6</v>
      </c>
      <c r="G1" s="3" t="s">
        <v>7</v>
      </c>
      <c r="H1" s="3" t="s">
        <v>8</v>
      </c>
      <c r="I1" s="3" t="s">
        <v>9</v>
      </c>
      <c r="J1" s="3" t="s">
        <v>10</v>
      </c>
      <c r="K1" s="3" t="s">
        <v>20</v>
      </c>
      <c r="L1" s="3" t="s">
        <v>22</v>
      </c>
      <c r="M1" s="3" t="s">
        <v>794</v>
      </c>
      <c r="N1" s="5" t="s">
        <v>26</v>
      </c>
      <c r="O1" s="5" t="s">
        <v>795</v>
      </c>
      <c r="P1" s="3"/>
      <c r="Q1" s="3"/>
      <c r="R1" s="3"/>
      <c r="S1" s="3"/>
      <c r="T1" s="3"/>
      <c r="U1" s="3"/>
      <c r="V1" s="3"/>
      <c r="W1" s="3"/>
      <c r="X1" s="3"/>
      <c r="Y1" s="3"/>
      <c r="Z1" s="3"/>
      <c r="AA1" s="3"/>
      <c r="AB1" s="3"/>
    </row>
    <row r="2" spans="1:28" ht="15.75" customHeight="1">
      <c r="A2" s="1" t="s">
        <v>43</v>
      </c>
      <c r="B2" s="4">
        <v>45669</v>
      </c>
      <c r="C2" s="1" t="s">
        <v>47</v>
      </c>
      <c r="D2" s="1" t="s">
        <v>13</v>
      </c>
      <c r="E2" s="1" t="s">
        <v>51</v>
      </c>
      <c r="F2" s="1" t="s">
        <v>52</v>
      </c>
      <c r="G2" s="1" t="s">
        <v>32</v>
      </c>
      <c r="H2" s="1">
        <v>1</v>
      </c>
      <c r="I2" s="1" t="s">
        <v>56</v>
      </c>
      <c r="J2" s="1" t="s">
        <v>56</v>
      </c>
      <c r="K2" s="1" t="str">
        <f t="array" ref="K2:K998">IF(D2:D998="","",SUBSTITUTE(PROPER(D2:D998),"Add-On","Add-on"))</f>
        <v>Starter Plan</v>
      </c>
      <c r="L2" s="1" t="str">
        <f t="shared" ref="L2:L251" si="0">TRIM(E2)</f>
        <v>Priya Patel</v>
      </c>
      <c r="M2" s="1" t="str">
        <f>IF(G2="","",IF(LOWER(TRIM(G2))="north america","North America",IF(LOWER(TRIM(G2))="emea","EMEA",IF(LOWER(TRIM(G2))="apac","APAC",IF(LOWER(TRIM(G2))="latam","LATAM",TRIM(G2))))))</f>
        <v>LATAM</v>
      </c>
      <c r="N2" s="15">
        <f t="shared" ref="N2:O2" si="1">VALUE(SUBSTITUTE(SUBSTITUTE(SUBSTITUTE(I2,"$",""),",",""),".",","))</f>
        <v>45.33</v>
      </c>
      <c r="O2" s="5">
        <f>IF(OR(H2="",N2=""),"",H2*N2)</f>
        <v>45.33</v>
      </c>
    </row>
    <row r="3" spans="1:28" ht="15.75" customHeight="1">
      <c r="A3" s="1" t="s">
        <v>263</v>
      </c>
      <c r="B3" s="4">
        <v>45683</v>
      </c>
      <c r="C3" s="1" t="s">
        <v>36</v>
      </c>
      <c r="D3" s="1" t="s">
        <v>24</v>
      </c>
      <c r="E3" s="1" t="s">
        <v>62</v>
      </c>
      <c r="F3" s="1" t="s">
        <v>31</v>
      </c>
      <c r="G3" s="1" t="s">
        <v>82</v>
      </c>
      <c r="H3" s="1">
        <v>1</v>
      </c>
      <c r="I3" s="1" t="s">
        <v>271</v>
      </c>
      <c r="J3" s="1" t="s">
        <v>271</v>
      </c>
      <c r="K3" s="1" t="str">
        <v>Pro Plan</v>
      </c>
      <c r="L3" s="1" t="str">
        <f t="shared" si="0"/>
        <v>David Kim</v>
      </c>
      <c r="M3" s="1" t="str">
        <f t="shared" ref="M3:M66" si="2">IF(G3="","",IF(LOWER(TRIM(G3))="north america","North America",IF(LOWER(TRIM(G3))="emea","EMEA",IF(LOWER(TRIM(G3))="apac","APAC",IF(LOWER(TRIM(G3))="latam","LATAM",TRIM(G3))))))</f>
        <v>LATAM</v>
      </c>
      <c r="N3" s="15">
        <f t="shared" ref="N3:O3" si="3">VALUE(SUBSTITUTE(SUBSTITUTE(SUBSTITUTE(I3,"$",""),",",""),".",","))</f>
        <v>243.59</v>
      </c>
      <c r="O3" s="5">
        <f t="shared" ref="O3:O66" si="4">IF(OR(H3="",N3=""),"",H3*N3)</f>
        <v>243.59</v>
      </c>
    </row>
    <row r="4" spans="1:28" ht="15.75" customHeight="1">
      <c r="A4" s="1" t="s">
        <v>288</v>
      </c>
      <c r="B4" s="4">
        <v>45685</v>
      </c>
      <c r="C4" s="1" t="s">
        <v>290</v>
      </c>
      <c r="D4" s="1" t="s">
        <v>58</v>
      </c>
      <c r="E4" s="1" t="s">
        <v>67</v>
      </c>
      <c r="F4" s="1" t="s">
        <v>52</v>
      </c>
      <c r="G4" s="1" t="s">
        <v>39</v>
      </c>
      <c r="H4" s="1">
        <v>10</v>
      </c>
      <c r="I4" s="1" t="s">
        <v>294</v>
      </c>
      <c r="J4" s="1" t="s">
        <v>295</v>
      </c>
      <c r="K4" s="1" t="str">
        <v>Enterprise Plan</v>
      </c>
      <c r="L4" s="1" t="str">
        <f t="shared" si="0"/>
        <v>Carlos Mendez</v>
      </c>
      <c r="M4" s="1" t="str">
        <f t="shared" si="2"/>
        <v>EMEA</v>
      </c>
      <c r="N4" s="15">
        <f t="shared" ref="N4:O4" si="5">VALUE(SUBSTITUTE(SUBSTITUTE(SUBSTITUTE(I4,"$",""),",",""),".",","))</f>
        <v>1330.75</v>
      </c>
      <c r="O4" s="5">
        <f t="shared" si="4"/>
        <v>13307.5</v>
      </c>
      <c r="Q4" s="42" t="s">
        <v>309</v>
      </c>
      <c r="R4" s="43"/>
      <c r="S4" s="43"/>
    </row>
    <row r="5" spans="1:28" ht="15.75" customHeight="1">
      <c r="A5" s="1" t="s">
        <v>314</v>
      </c>
      <c r="B5" s="4">
        <v>45725</v>
      </c>
      <c r="C5" s="1" t="s">
        <v>315</v>
      </c>
      <c r="D5" s="1" t="s">
        <v>48</v>
      </c>
      <c r="E5" s="1" t="s">
        <v>178</v>
      </c>
      <c r="F5" s="1" t="s">
        <v>31</v>
      </c>
      <c r="G5" s="1" t="s">
        <v>32</v>
      </c>
      <c r="H5" s="1">
        <v>1</v>
      </c>
      <c r="I5" s="1" t="s">
        <v>319</v>
      </c>
      <c r="J5" s="1" t="s">
        <v>320</v>
      </c>
      <c r="K5" s="1" t="str">
        <v>Business Plan</v>
      </c>
      <c r="L5" s="1" t="str">
        <f t="shared" si="0"/>
        <v>Aisha Hassan</v>
      </c>
      <c r="M5" s="1" t="str">
        <f t="shared" si="2"/>
        <v>LATAM</v>
      </c>
      <c r="N5" s="15">
        <f t="shared" ref="N5:O5" si="6">VALUE(SUBSTITUTE(SUBSTITUTE(SUBSTITUTE(I5,"$",""),",",""),".",","))</f>
        <v>492.03</v>
      </c>
      <c r="O5" s="5">
        <f t="shared" si="4"/>
        <v>492.03</v>
      </c>
      <c r="Q5" s="43"/>
      <c r="R5" s="43"/>
      <c r="S5" s="43"/>
    </row>
    <row r="6" spans="1:28" ht="15.75" customHeight="1">
      <c r="A6" s="1" t="s">
        <v>332</v>
      </c>
      <c r="B6" s="4">
        <v>45712</v>
      </c>
      <c r="C6" s="1" t="s">
        <v>175</v>
      </c>
      <c r="D6" s="1" t="s">
        <v>24</v>
      </c>
      <c r="E6" s="1" t="s">
        <v>38</v>
      </c>
      <c r="F6" s="1" t="s">
        <v>15</v>
      </c>
      <c r="G6" s="1" t="s">
        <v>17</v>
      </c>
      <c r="H6" s="1">
        <v>1</v>
      </c>
      <c r="I6" s="1" t="s">
        <v>336</v>
      </c>
      <c r="J6" s="1" t="s">
        <v>336</v>
      </c>
      <c r="K6" s="1" t="str">
        <v>Pro Plan</v>
      </c>
      <c r="L6" s="1" t="str">
        <f t="shared" si="0"/>
        <v>Elena Rossi</v>
      </c>
      <c r="M6" s="1" t="str">
        <f t="shared" si="2"/>
        <v>North America</v>
      </c>
      <c r="N6" s="15">
        <f t="shared" ref="N6:O6" si="7">VALUE(SUBSTITUTE(SUBSTITUTE(SUBSTITUTE(I6,"$",""),",",""),".",","))</f>
        <v>233.69</v>
      </c>
      <c r="O6" s="5">
        <f t="shared" si="4"/>
        <v>233.69</v>
      </c>
      <c r="Q6" s="43"/>
      <c r="R6" s="43"/>
      <c r="S6" s="43"/>
    </row>
    <row r="7" spans="1:28" ht="15.75" customHeight="1">
      <c r="A7" s="1" t="s">
        <v>303</v>
      </c>
      <c r="B7" s="4">
        <v>45683</v>
      </c>
      <c r="C7" s="1" t="s">
        <v>36</v>
      </c>
      <c r="D7" s="1" t="s">
        <v>37</v>
      </c>
      <c r="E7" s="1" t="s">
        <v>178</v>
      </c>
      <c r="F7" s="1" t="s">
        <v>31</v>
      </c>
      <c r="G7" s="1" t="s">
        <v>71</v>
      </c>
      <c r="H7" s="1">
        <v>1</v>
      </c>
      <c r="I7" s="1" t="s">
        <v>304</v>
      </c>
      <c r="J7" s="1" t="s">
        <v>305</v>
      </c>
      <c r="K7" s="1" t="str">
        <v>Add-on: Support</v>
      </c>
      <c r="L7" s="1" t="str">
        <f t="shared" si="0"/>
        <v>Aisha Hassan</v>
      </c>
      <c r="M7" s="1" t="str">
        <f t="shared" si="2"/>
        <v>APAC</v>
      </c>
      <c r="N7" s="15">
        <f t="shared" ref="N7:O7" si="8">VALUE(SUBSTITUTE(SUBSTITUTE(SUBSTITUTE(I7,"$",""),",",""),".",","))</f>
        <v>116.31</v>
      </c>
      <c r="O7" s="5">
        <f t="shared" si="4"/>
        <v>116.31</v>
      </c>
      <c r="P7" s="17"/>
      <c r="Q7" s="43"/>
      <c r="R7" s="43"/>
      <c r="S7" s="43"/>
      <c r="T7" s="17"/>
      <c r="U7" s="17"/>
      <c r="V7" s="17"/>
    </row>
    <row r="8" spans="1:28" ht="15.75" customHeight="1">
      <c r="A8" s="1" t="s">
        <v>259</v>
      </c>
      <c r="B8" s="4">
        <v>45678</v>
      </c>
      <c r="C8" s="1" t="s">
        <v>79</v>
      </c>
      <c r="D8" s="1" t="s">
        <v>37</v>
      </c>
      <c r="E8" s="1" t="s">
        <v>14</v>
      </c>
      <c r="F8" s="1" t="s">
        <v>15</v>
      </c>
      <c r="G8" s="1" t="s">
        <v>32</v>
      </c>
      <c r="H8" s="1">
        <v>1</v>
      </c>
      <c r="I8" s="1" t="s">
        <v>260</v>
      </c>
      <c r="J8" s="1" t="s">
        <v>260</v>
      </c>
      <c r="K8" s="1" t="str">
        <v>Add-on: Support</v>
      </c>
      <c r="L8" s="1" t="str">
        <f t="shared" si="0"/>
        <v>Nina Petrov</v>
      </c>
      <c r="M8" s="1" t="str">
        <f t="shared" si="2"/>
        <v>LATAM</v>
      </c>
      <c r="N8" s="15">
        <f t="shared" ref="N8:O8" si="9">VALUE(SUBSTITUTE(SUBSTITUTE(SUBSTITUTE(I8,"$",""),",",""),".",","))</f>
        <v>146.66999999999999</v>
      </c>
      <c r="O8" s="5">
        <f t="shared" si="4"/>
        <v>146.66999999999999</v>
      </c>
      <c r="P8" s="17"/>
      <c r="Q8" s="43"/>
      <c r="R8" s="43"/>
      <c r="S8" s="43"/>
      <c r="T8" s="17"/>
      <c r="U8" s="17"/>
      <c r="V8" s="17"/>
    </row>
    <row r="9" spans="1:28" ht="15.75" customHeight="1">
      <c r="A9" s="1" t="s">
        <v>81</v>
      </c>
      <c r="B9" s="4">
        <v>45662</v>
      </c>
      <c r="C9" s="1" t="s">
        <v>47</v>
      </c>
      <c r="D9" s="1" t="s">
        <v>24</v>
      </c>
      <c r="E9" s="1" t="s">
        <v>25</v>
      </c>
      <c r="F9" s="1" t="s">
        <v>15</v>
      </c>
      <c r="G9" s="1" t="s">
        <v>82</v>
      </c>
      <c r="H9" s="1">
        <v>20</v>
      </c>
      <c r="I9" s="1" t="s">
        <v>83</v>
      </c>
      <c r="J9" s="6">
        <v>1125162</v>
      </c>
      <c r="K9" s="1" t="str">
        <v>Pro Plan</v>
      </c>
      <c r="L9" s="1" t="str">
        <f t="shared" si="0"/>
        <v>Tom Wilson</v>
      </c>
      <c r="M9" s="1" t="str">
        <f t="shared" si="2"/>
        <v>LATAM</v>
      </c>
      <c r="N9" s="15">
        <f t="shared" ref="N9:O9" si="10">VALUE(SUBSTITUTE(SUBSTITUTE(SUBSTITUTE(I9,"$",""),",",""),".",","))</f>
        <v>249.04</v>
      </c>
      <c r="O9" s="5">
        <f t="shared" si="4"/>
        <v>4980.8</v>
      </c>
      <c r="P9" s="17"/>
      <c r="Q9" s="43"/>
      <c r="R9" s="43"/>
      <c r="S9" s="43"/>
      <c r="T9" s="17"/>
      <c r="U9" s="17"/>
      <c r="V9" s="17"/>
    </row>
    <row r="10" spans="1:28" ht="15.75" customHeight="1">
      <c r="A10" s="1" t="s">
        <v>168</v>
      </c>
      <c r="B10" s="4">
        <v>45669</v>
      </c>
      <c r="C10" s="1" t="s">
        <v>169</v>
      </c>
      <c r="D10" s="1" t="s">
        <v>24</v>
      </c>
      <c r="E10" s="1" t="s">
        <v>30</v>
      </c>
      <c r="F10" s="1" t="s">
        <v>31</v>
      </c>
      <c r="G10" s="1" t="s">
        <v>17</v>
      </c>
      <c r="H10" s="1">
        <v>1</v>
      </c>
      <c r="I10" s="1" t="s">
        <v>170</v>
      </c>
      <c r="J10" s="1" t="s">
        <v>170</v>
      </c>
      <c r="K10" s="1" t="str">
        <v>Pro Plan</v>
      </c>
      <c r="L10" s="1" t="str">
        <f t="shared" si="0"/>
        <v>Marcus Johnson</v>
      </c>
      <c r="M10" s="1" t="str">
        <f t="shared" si="2"/>
        <v>North America</v>
      </c>
      <c r="N10" s="15">
        <f t="shared" ref="N10:O10" si="11">VALUE(SUBSTITUTE(SUBSTITUTE(SUBSTITUTE(I10,"$",""),",",""),".",","))</f>
        <v>213.81</v>
      </c>
      <c r="O10" s="5">
        <f t="shared" si="4"/>
        <v>213.81</v>
      </c>
      <c r="P10" s="17"/>
      <c r="Q10" s="17"/>
      <c r="R10" s="17"/>
      <c r="S10" s="17"/>
      <c r="T10" s="17"/>
      <c r="U10" s="17"/>
      <c r="V10" s="17"/>
    </row>
    <row r="11" spans="1:28" ht="15.75" customHeight="1">
      <c r="A11" s="1" t="s">
        <v>306</v>
      </c>
      <c r="B11" s="4">
        <v>45683</v>
      </c>
      <c r="C11" s="1" t="s">
        <v>307</v>
      </c>
      <c r="D11" s="1" t="s">
        <v>48</v>
      </c>
      <c r="E11" s="1" t="s">
        <v>30</v>
      </c>
      <c r="F11" s="1" t="s">
        <v>31</v>
      </c>
      <c r="G11" s="1" t="s">
        <v>71</v>
      </c>
      <c r="H11" s="1">
        <v>1</v>
      </c>
      <c r="I11" s="1" t="s">
        <v>308</v>
      </c>
      <c r="J11" s="1" t="s">
        <v>308</v>
      </c>
      <c r="K11" s="1" t="str">
        <v>Business Plan</v>
      </c>
      <c r="L11" s="1" t="str">
        <f t="shared" si="0"/>
        <v>Marcus Johnson</v>
      </c>
      <c r="M11" s="1" t="str">
        <f t="shared" si="2"/>
        <v>APAC</v>
      </c>
      <c r="N11" s="15">
        <f t="shared" ref="N11:O11" si="12">VALUE(SUBSTITUTE(SUBSTITUTE(SUBSTITUTE(I11,"$",""),",",""),".",","))</f>
        <v>428.51</v>
      </c>
      <c r="O11" s="5">
        <f t="shared" si="4"/>
        <v>428.51</v>
      </c>
      <c r="P11" s="17"/>
      <c r="Q11" s="17"/>
      <c r="R11" s="17"/>
      <c r="S11" s="17"/>
      <c r="T11" s="17"/>
      <c r="U11" s="17"/>
      <c r="V11" s="17"/>
    </row>
    <row r="12" spans="1:28" ht="15.75" customHeight="1">
      <c r="A12" s="1" t="s">
        <v>214</v>
      </c>
      <c r="B12" s="4">
        <v>45674</v>
      </c>
      <c r="C12" s="1" t="s">
        <v>215</v>
      </c>
      <c r="D12" s="1" t="s">
        <v>48</v>
      </c>
      <c r="E12" s="1" t="s">
        <v>49</v>
      </c>
      <c r="F12" s="1" t="s">
        <v>50</v>
      </c>
      <c r="G12" s="1" t="s">
        <v>17</v>
      </c>
      <c r="H12" s="1">
        <v>1</v>
      </c>
      <c r="I12" s="1" t="s">
        <v>217</v>
      </c>
      <c r="J12" s="1" t="s">
        <v>217</v>
      </c>
      <c r="K12" s="1" t="str">
        <v>Business Plan</v>
      </c>
      <c r="L12" s="1" t="str">
        <f t="shared" si="0"/>
        <v>James Park</v>
      </c>
      <c r="M12" s="1" t="str">
        <f t="shared" si="2"/>
        <v>North America</v>
      </c>
      <c r="N12" s="15">
        <f t="shared" ref="N12:O12" si="13">VALUE(SUBSTITUTE(SUBSTITUTE(SUBSTITUTE(I12,"$",""),",",""),".",","))</f>
        <v>410.61</v>
      </c>
      <c r="O12" s="5">
        <f t="shared" si="4"/>
        <v>410.61</v>
      </c>
      <c r="P12" s="17"/>
      <c r="Q12" s="17"/>
      <c r="R12" s="17"/>
      <c r="S12" s="17"/>
      <c r="T12" s="17"/>
      <c r="U12" s="17"/>
      <c r="V12" s="17"/>
    </row>
    <row r="13" spans="1:28" ht="15.75" customHeight="1">
      <c r="A13" s="1" t="s">
        <v>243</v>
      </c>
      <c r="B13" s="4">
        <v>45677</v>
      </c>
      <c r="C13" s="1" t="s">
        <v>66</v>
      </c>
      <c r="D13" s="1" t="s">
        <v>117</v>
      </c>
      <c r="E13" s="1" t="s">
        <v>51</v>
      </c>
      <c r="F13" s="1" t="s">
        <v>52</v>
      </c>
      <c r="G13" s="1" t="s">
        <v>32</v>
      </c>
      <c r="H13" s="1">
        <v>5</v>
      </c>
      <c r="I13" s="1" t="s">
        <v>244</v>
      </c>
      <c r="J13" s="1" t="s">
        <v>245</v>
      </c>
      <c r="K13" s="1" t="str">
        <v>Add-on: Analytics</v>
      </c>
      <c r="L13" s="1" t="str">
        <f t="shared" si="0"/>
        <v>Priya Patel</v>
      </c>
      <c r="M13" s="1" t="str">
        <f t="shared" si="2"/>
        <v>LATAM</v>
      </c>
      <c r="N13" s="15">
        <f t="shared" ref="N13:O13" si="14">VALUE(SUBSTITUTE(SUBSTITUTE(SUBSTITUTE(I13,"$",""),",",""),".",","))</f>
        <v>103.1</v>
      </c>
      <c r="O13" s="5">
        <f t="shared" si="4"/>
        <v>515.5</v>
      </c>
      <c r="P13" s="17"/>
      <c r="Q13" s="17"/>
      <c r="R13" s="17"/>
      <c r="S13" s="17"/>
      <c r="T13" s="17"/>
      <c r="U13" s="17"/>
      <c r="V13" s="17"/>
    </row>
    <row r="14" spans="1:28" ht="15.75" customHeight="1">
      <c r="A14" s="1" t="s">
        <v>282</v>
      </c>
      <c r="B14" s="4">
        <v>45680</v>
      </c>
      <c r="C14" s="1" t="s">
        <v>85</v>
      </c>
      <c r="D14" s="1" t="s">
        <v>13</v>
      </c>
      <c r="E14" s="1" t="s">
        <v>14</v>
      </c>
      <c r="F14" s="1" t="s">
        <v>15</v>
      </c>
      <c r="G14" s="1" t="s">
        <v>32</v>
      </c>
      <c r="H14" s="1">
        <v>1</v>
      </c>
      <c r="I14" s="1" t="s">
        <v>283</v>
      </c>
      <c r="J14" s="1" t="s">
        <v>283</v>
      </c>
      <c r="K14" s="1" t="str">
        <v>Starter Plan</v>
      </c>
      <c r="L14" s="1" t="str">
        <f t="shared" si="0"/>
        <v>Nina Petrov</v>
      </c>
      <c r="M14" s="1" t="str">
        <f t="shared" si="2"/>
        <v>LATAM</v>
      </c>
      <c r="N14" s="15">
        <f t="shared" ref="N14:O14" si="15">VALUE(SUBSTITUTE(SUBSTITUTE(SUBSTITUTE(I14,"$",""),",",""),".",","))</f>
        <v>46.97</v>
      </c>
      <c r="O14" s="5">
        <f t="shared" si="4"/>
        <v>46.97</v>
      </c>
      <c r="P14" s="17"/>
      <c r="Q14" s="17"/>
      <c r="R14" s="17"/>
      <c r="S14" s="17"/>
      <c r="T14" s="17"/>
      <c r="U14" s="17"/>
      <c r="V14" s="17"/>
    </row>
    <row r="15" spans="1:28" ht="15.75" customHeight="1">
      <c r="A15" s="1" t="s">
        <v>345</v>
      </c>
      <c r="B15" s="4">
        <v>45687</v>
      </c>
      <c r="C15" s="1" t="s">
        <v>329</v>
      </c>
      <c r="D15" s="1" t="s">
        <v>37</v>
      </c>
      <c r="E15" s="1" t="s">
        <v>67</v>
      </c>
      <c r="F15" s="1" t="s">
        <v>52</v>
      </c>
      <c r="G15" s="1" t="s">
        <v>205</v>
      </c>
      <c r="H15" s="1">
        <v>1</v>
      </c>
      <c r="I15" s="1" t="s">
        <v>346</v>
      </c>
      <c r="J15" s="1" t="s">
        <v>347</v>
      </c>
      <c r="K15" s="1" t="str">
        <v>Add-on: Support</v>
      </c>
      <c r="L15" s="1" t="str">
        <f t="shared" si="0"/>
        <v>Carlos Mendez</v>
      </c>
      <c r="M15" s="1" t="str">
        <f t="shared" si="2"/>
        <v>EMEA</v>
      </c>
      <c r="N15" s="15">
        <f t="shared" ref="N15:O15" si="16">VALUE(SUBSTITUTE(SUBSTITUTE(SUBSTITUTE(I15,"$",""),",",""),".",","))</f>
        <v>114.94</v>
      </c>
      <c r="O15" s="5">
        <f t="shared" si="4"/>
        <v>114.94</v>
      </c>
      <c r="P15" s="17"/>
      <c r="Q15" s="17"/>
      <c r="R15" s="17"/>
      <c r="S15" s="17"/>
      <c r="T15" s="17"/>
      <c r="U15" s="17"/>
      <c r="V15" s="17"/>
    </row>
    <row r="16" spans="1:28" ht="15.75" customHeight="1">
      <c r="A16" s="1" t="s">
        <v>393</v>
      </c>
      <c r="B16" s="4">
        <v>45694</v>
      </c>
      <c r="C16" s="1" t="s">
        <v>290</v>
      </c>
      <c r="D16" s="1" t="s">
        <v>13</v>
      </c>
      <c r="E16" s="1" t="s">
        <v>163</v>
      </c>
      <c r="F16" s="1" t="s">
        <v>50</v>
      </c>
      <c r="G16" s="1" t="s">
        <v>71</v>
      </c>
      <c r="H16" s="1">
        <v>1</v>
      </c>
      <c r="I16" s="1" t="s">
        <v>394</v>
      </c>
      <c r="J16" s="1" t="s">
        <v>394</v>
      </c>
      <c r="K16" s="1" t="str">
        <v>Starter Plan</v>
      </c>
      <c r="L16" s="1" t="str">
        <f t="shared" si="0"/>
        <v>Raj Sharma</v>
      </c>
      <c r="M16" s="1" t="str">
        <f t="shared" si="2"/>
        <v>APAC</v>
      </c>
      <c r="N16" s="15">
        <f t="shared" ref="N16:O16" si="17">VALUE(SUBSTITUTE(SUBSTITUTE(SUBSTITUTE(I16,"$",""),",",""),".",","))</f>
        <v>42.9</v>
      </c>
      <c r="O16" s="5">
        <f t="shared" si="4"/>
        <v>42.9</v>
      </c>
      <c r="P16" s="17"/>
      <c r="Q16" s="17"/>
      <c r="R16" s="17"/>
      <c r="S16" s="17"/>
      <c r="T16" s="17"/>
      <c r="U16" s="17"/>
      <c r="V16" s="17"/>
    </row>
    <row r="17" spans="1:22" ht="15.75" customHeight="1">
      <c r="A17" s="1" t="s">
        <v>473</v>
      </c>
      <c r="B17" s="4">
        <v>45709</v>
      </c>
      <c r="C17" s="1" t="s">
        <v>307</v>
      </c>
      <c r="D17" s="1" t="s">
        <v>24</v>
      </c>
      <c r="E17" s="1" t="s">
        <v>30</v>
      </c>
      <c r="F17" s="1" t="s">
        <v>31</v>
      </c>
      <c r="G17" s="1" t="s">
        <v>17</v>
      </c>
      <c r="H17" s="1">
        <v>2</v>
      </c>
      <c r="I17" s="1" t="s">
        <v>474</v>
      </c>
      <c r="J17" s="1" t="s">
        <v>475</v>
      </c>
      <c r="K17" s="1" t="str">
        <v>Pro Plan</v>
      </c>
      <c r="L17" s="1" t="str">
        <f t="shared" si="0"/>
        <v>Marcus Johnson</v>
      </c>
      <c r="M17" s="1" t="str">
        <f t="shared" si="2"/>
        <v>North America</v>
      </c>
      <c r="N17" s="15">
        <f t="shared" ref="N17:O17" si="18">VALUE(SUBSTITUTE(SUBSTITUTE(SUBSTITUTE(I17,"$",""),",",""),".",","))</f>
        <v>273.36</v>
      </c>
      <c r="O17" s="5">
        <f t="shared" si="4"/>
        <v>546.72</v>
      </c>
      <c r="P17" s="17"/>
      <c r="Q17" s="17"/>
      <c r="R17" s="17"/>
      <c r="S17" s="17"/>
      <c r="T17" s="17"/>
      <c r="U17" s="17"/>
      <c r="V17" s="17"/>
    </row>
    <row r="18" spans="1:22" ht="15.75" customHeight="1">
      <c r="A18" s="1" t="s">
        <v>447</v>
      </c>
      <c r="B18" s="4">
        <v>45705</v>
      </c>
      <c r="C18" s="1" t="s">
        <v>36</v>
      </c>
      <c r="D18" s="1" t="s">
        <v>58</v>
      </c>
      <c r="E18" s="1" t="s">
        <v>51</v>
      </c>
      <c r="F18" s="1" t="s">
        <v>52</v>
      </c>
      <c r="G18" s="1" t="s">
        <v>32</v>
      </c>
      <c r="H18" s="1">
        <v>1</v>
      </c>
      <c r="I18" s="1" t="s">
        <v>448</v>
      </c>
      <c r="J18" s="1" t="s">
        <v>448</v>
      </c>
      <c r="K18" s="1" t="str">
        <v>Enterprise Plan</v>
      </c>
      <c r="L18" s="1" t="str">
        <f t="shared" si="0"/>
        <v>Priya Patel</v>
      </c>
      <c r="M18" s="1" t="str">
        <f t="shared" si="2"/>
        <v>LATAM</v>
      </c>
      <c r="N18" s="15">
        <f t="shared" ref="N18:O18" si="19">VALUE(SUBSTITUTE(SUBSTITUTE(SUBSTITUTE(I18,"$",""),",",""),".",","))</f>
        <v>1339.78</v>
      </c>
      <c r="O18" s="5">
        <f t="shared" si="4"/>
        <v>1339.78</v>
      </c>
      <c r="P18" s="17"/>
      <c r="Q18" s="17"/>
      <c r="R18" s="17"/>
      <c r="S18" s="17"/>
      <c r="T18" s="17"/>
      <c r="U18" s="17"/>
      <c r="V18" s="17"/>
    </row>
    <row r="19" spans="1:22" ht="15.75" customHeight="1">
      <c r="A19" s="1" t="s">
        <v>548</v>
      </c>
      <c r="B19" s="4">
        <v>45741</v>
      </c>
      <c r="C19" s="1" t="s">
        <v>46</v>
      </c>
      <c r="D19" s="1" t="s">
        <v>58</v>
      </c>
      <c r="E19" s="1" t="s">
        <v>25</v>
      </c>
      <c r="F19" s="1" t="s">
        <v>15</v>
      </c>
      <c r="G19" s="1" t="s">
        <v>82</v>
      </c>
      <c r="H19" s="1">
        <v>1</v>
      </c>
      <c r="I19" s="1" t="s">
        <v>552</v>
      </c>
      <c r="J19" s="1" t="s">
        <v>554</v>
      </c>
      <c r="K19" s="1" t="str">
        <v>Enterprise Plan</v>
      </c>
      <c r="L19" s="1" t="str">
        <f t="shared" si="0"/>
        <v>Tom Wilson</v>
      </c>
      <c r="M19" s="1" t="str">
        <f t="shared" si="2"/>
        <v>LATAM</v>
      </c>
      <c r="N19" s="15">
        <f t="shared" ref="N19:O19" si="20">VALUE(SUBSTITUTE(SUBSTITUTE(SUBSTITUTE(I19,"$",""),",",""),".",","))</f>
        <v>1227.17</v>
      </c>
      <c r="O19" s="5">
        <f t="shared" si="4"/>
        <v>1227.17</v>
      </c>
      <c r="P19" s="17"/>
      <c r="Q19" s="17"/>
      <c r="R19" s="17"/>
      <c r="S19" s="17"/>
      <c r="T19" s="17"/>
      <c r="U19" s="17"/>
      <c r="V19" s="17"/>
    </row>
    <row r="20" spans="1:22" ht="15.75" customHeight="1">
      <c r="A20" s="1" t="s">
        <v>570</v>
      </c>
      <c r="B20" s="4">
        <v>45744</v>
      </c>
      <c r="C20" s="1" t="s">
        <v>106</v>
      </c>
      <c r="D20" s="1" t="s">
        <v>13</v>
      </c>
      <c r="E20" s="1" t="s">
        <v>25</v>
      </c>
      <c r="F20" s="1" t="s">
        <v>15</v>
      </c>
      <c r="G20" s="1" t="s">
        <v>71</v>
      </c>
      <c r="H20" s="1">
        <v>1</v>
      </c>
      <c r="I20" s="1" t="s">
        <v>574</v>
      </c>
      <c r="J20" s="1" t="s">
        <v>574</v>
      </c>
      <c r="K20" s="1" t="str">
        <v>Starter Plan</v>
      </c>
      <c r="L20" s="1" t="str">
        <f t="shared" si="0"/>
        <v>Tom Wilson</v>
      </c>
      <c r="M20" s="1" t="str">
        <f t="shared" si="2"/>
        <v>APAC</v>
      </c>
      <c r="N20" s="15">
        <f t="shared" ref="N20:O20" si="21">VALUE(SUBSTITUTE(SUBSTITUTE(SUBSTITUTE(I20,"$",""),",",""),".",","))</f>
        <v>72.37</v>
      </c>
      <c r="O20" s="5">
        <f t="shared" si="4"/>
        <v>72.37</v>
      </c>
      <c r="P20" s="17"/>
      <c r="Q20" s="17"/>
      <c r="R20" s="17"/>
      <c r="S20" s="17"/>
      <c r="T20" s="17"/>
      <c r="U20" s="17"/>
      <c r="V20" s="17"/>
    </row>
    <row r="21" spans="1:22" ht="15.75" customHeight="1">
      <c r="A21" s="1" t="s">
        <v>518</v>
      </c>
      <c r="B21" s="4">
        <v>45714</v>
      </c>
      <c r="C21" s="1" t="s">
        <v>215</v>
      </c>
      <c r="D21" s="1" t="s">
        <v>24</v>
      </c>
      <c r="E21" s="1" t="s">
        <v>25</v>
      </c>
      <c r="F21" s="1" t="s">
        <v>15</v>
      </c>
      <c r="G21" s="1" t="s">
        <v>39</v>
      </c>
      <c r="H21" s="1">
        <v>10</v>
      </c>
      <c r="I21" s="1" t="s">
        <v>519</v>
      </c>
      <c r="J21" s="6" t="s">
        <v>520</v>
      </c>
      <c r="K21" s="1" t="str">
        <v>Pro Plan</v>
      </c>
      <c r="L21" s="1" t="str">
        <f t="shared" si="0"/>
        <v>Tom Wilson</v>
      </c>
      <c r="M21" s="1" t="str">
        <f t="shared" si="2"/>
        <v>EMEA</v>
      </c>
      <c r="N21" s="15">
        <f t="shared" ref="N21:O21" si="22">VALUE(SUBSTITUTE(SUBSTITUTE(SUBSTITUTE(I21,"$",""),",",""),".",","))</f>
        <v>162.02000000000001</v>
      </c>
      <c r="O21" s="5">
        <f t="shared" si="4"/>
        <v>1620.2</v>
      </c>
      <c r="P21" s="17"/>
      <c r="Q21" s="17"/>
      <c r="R21" s="17"/>
      <c r="S21" s="17"/>
      <c r="T21" s="17"/>
      <c r="U21" s="17"/>
      <c r="V21" s="17"/>
    </row>
    <row r="22" spans="1:22" ht="15.75" customHeight="1">
      <c r="A22" s="1" t="s">
        <v>582</v>
      </c>
      <c r="B22" s="4">
        <v>45719</v>
      </c>
      <c r="C22" s="1" t="s">
        <v>326</v>
      </c>
      <c r="D22" s="1" t="s">
        <v>13</v>
      </c>
      <c r="E22" s="1" t="s">
        <v>67</v>
      </c>
      <c r="F22" s="1" t="s">
        <v>52</v>
      </c>
      <c r="G22" s="1" t="s">
        <v>71</v>
      </c>
      <c r="H22" s="1">
        <v>20</v>
      </c>
      <c r="I22" s="1" t="s">
        <v>583</v>
      </c>
      <c r="J22" s="1" t="s">
        <v>584</v>
      </c>
      <c r="K22" s="1" t="str">
        <v>Starter Plan</v>
      </c>
      <c r="L22" s="1" t="str">
        <f t="shared" si="0"/>
        <v>Carlos Mendez</v>
      </c>
      <c r="M22" s="1" t="str">
        <f t="shared" si="2"/>
        <v>APAC</v>
      </c>
      <c r="N22" s="15">
        <f t="shared" ref="N22:O22" si="23">VALUE(SUBSTITUTE(SUBSTITUTE(SUBSTITUTE(I22,"$",""),",",""),".",","))</f>
        <v>74.98</v>
      </c>
      <c r="O22" s="5">
        <f t="shared" si="4"/>
        <v>1499.6000000000001</v>
      </c>
      <c r="P22" s="17"/>
      <c r="Q22" s="17"/>
      <c r="R22" s="17"/>
      <c r="S22" s="17"/>
      <c r="T22" s="17"/>
      <c r="U22" s="17"/>
      <c r="V22" s="17"/>
    </row>
    <row r="23" spans="1:22" ht="15.75" customHeight="1">
      <c r="A23" s="1" t="s">
        <v>627</v>
      </c>
      <c r="B23" s="4">
        <v>45742</v>
      </c>
      <c r="C23" s="1" t="s">
        <v>250</v>
      </c>
      <c r="D23" s="1" t="s">
        <v>37</v>
      </c>
      <c r="E23" s="1" t="s">
        <v>107</v>
      </c>
      <c r="F23" s="1" t="s">
        <v>52</v>
      </c>
      <c r="G23" s="1" t="s">
        <v>39</v>
      </c>
      <c r="H23" s="1">
        <v>2</v>
      </c>
      <c r="I23" s="1" t="s">
        <v>632</v>
      </c>
      <c r="J23" s="1" t="s">
        <v>634</v>
      </c>
      <c r="K23" s="1" t="str">
        <v>Add-on: Support</v>
      </c>
      <c r="L23" s="1" t="str">
        <f t="shared" si="0"/>
        <v>Sophie Laurent</v>
      </c>
      <c r="M23" s="1" t="str">
        <f t="shared" si="2"/>
        <v>EMEA</v>
      </c>
      <c r="N23" s="15">
        <f t="shared" ref="N23:O23" si="24">VALUE(SUBSTITUTE(SUBSTITUTE(SUBSTITUTE(I23,"$",""),",",""),".",","))</f>
        <v>100.36</v>
      </c>
      <c r="O23" s="5">
        <f t="shared" si="4"/>
        <v>200.72</v>
      </c>
      <c r="P23" s="17"/>
      <c r="Q23" s="17"/>
      <c r="R23" s="17"/>
      <c r="S23" s="17"/>
      <c r="T23" s="17"/>
      <c r="U23" s="17"/>
      <c r="V23" s="17"/>
    </row>
    <row r="24" spans="1:22" ht="15.75" customHeight="1">
      <c r="A24" s="1" t="s">
        <v>521</v>
      </c>
      <c r="B24" s="4">
        <v>45714</v>
      </c>
      <c r="C24" s="1" t="s">
        <v>92</v>
      </c>
      <c r="D24" s="1" t="s">
        <v>13</v>
      </c>
      <c r="E24" s="1" t="s">
        <v>163</v>
      </c>
      <c r="F24" s="1" t="s">
        <v>50</v>
      </c>
      <c r="G24" s="1" t="s">
        <v>39</v>
      </c>
      <c r="H24" s="1">
        <v>20</v>
      </c>
      <c r="I24" s="1" t="s">
        <v>522</v>
      </c>
      <c r="J24" s="1" t="s">
        <v>523</v>
      </c>
      <c r="K24" s="1" t="str">
        <v>Starter Plan</v>
      </c>
      <c r="L24" s="1" t="str">
        <f t="shared" si="0"/>
        <v>Raj Sharma</v>
      </c>
      <c r="M24" s="1" t="str">
        <f t="shared" si="2"/>
        <v>EMEA</v>
      </c>
      <c r="N24" s="15">
        <f t="shared" ref="N24:O24" si="25">VALUE(SUBSTITUTE(SUBSTITUTE(SUBSTITUTE(I24,"$",""),",",""),".",","))</f>
        <v>64.75</v>
      </c>
      <c r="O24" s="5">
        <f t="shared" si="4"/>
        <v>1295</v>
      </c>
    </row>
    <row r="25" spans="1:22" ht="15.75" customHeight="1">
      <c r="A25" s="1" t="s">
        <v>668</v>
      </c>
      <c r="B25" s="4">
        <v>45746</v>
      </c>
      <c r="C25" s="1" t="s">
        <v>42</v>
      </c>
      <c r="D25" s="1" t="s">
        <v>24</v>
      </c>
      <c r="E25" s="1" t="s">
        <v>178</v>
      </c>
      <c r="F25" s="1" t="s">
        <v>31</v>
      </c>
      <c r="G25" s="1" t="s">
        <v>82</v>
      </c>
      <c r="H25" s="1">
        <v>1</v>
      </c>
      <c r="I25" s="1" t="s">
        <v>675</v>
      </c>
      <c r="J25" s="1" t="s">
        <v>676</v>
      </c>
      <c r="K25" s="1" t="str">
        <v>Pro Plan</v>
      </c>
      <c r="L25" s="1" t="str">
        <f t="shared" si="0"/>
        <v>Aisha Hassan</v>
      </c>
      <c r="M25" s="1" t="str">
        <f t="shared" si="2"/>
        <v>LATAM</v>
      </c>
      <c r="N25" s="15">
        <f t="shared" ref="N25:O25" si="26">VALUE(SUBSTITUTE(SUBSTITUTE(SUBSTITUTE(I25,"$",""),",",""),".",","))</f>
        <v>250.06</v>
      </c>
      <c r="O25" s="5">
        <f t="shared" si="4"/>
        <v>250.06</v>
      </c>
    </row>
    <row r="26" spans="1:22" ht="15.75" customHeight="1">
      <c r="A26" s="1" t="s">
        <v>495</v>
      </c>
      <c r="B26" s="4">
        <v>45711</v>
      </c>
      <c r="C26" s="1" t="s">
        <v>435</v>
      </c>
      <c r="D26" s="1" t="s">
        <v>117</v>
      </c>
      <c r="E26" s="1" t="s">
        <v>62</v>
      </c>
      <c r="F26" s="1" t="s">
        <v>31</v>
      </c>
      <c r="G26" s="1" t="s">
        <v>39</v>
      </c>
      <c r="H26" s="1">
        <v>10</v>
      </c>
      <c r="I26" s="1" t="s">
        <v>496</v>
      </c>
      <c r="J26" s="1" t="s">
        <v>497</v>
      </c>
      <c r="K26" s="1" t="str">
        <v>Add-on: Analytics</v>
      </c>
      <c r="L26" s="1" t="str">
        <f t="shared" si="0"/>
        <v>David Kim</v>
      </c>
      <c r="M26" s="1" t="str">
        <f t="shared" si="2"/>
        <v>EMEA</v>
      </c>
      <c r="N26" s="15">
        <f t="shared" ref="N26:O26" si="27">VALUE(SUBSTITUTE(SUBSTITUTE(SUBSTITUTE(I26,"$",""),",",""),".",","))</f>
        <v>75.66</v>
      </c>
      <c r="O26" s="5">
        <f t="shared" si="4"/>
        <v>756.59999999999991</v>
      </c>
    </row>
    <row r="27" spans="1:22" ht="15.75" customHeight="1">
      <c r="A27" s="1" t="s">
        <v>605</v>
      </c>
      <c r="B27" s="4">
        <v>45722</v>
      </c>
      <c r="C27" s="1" t="s">
        <v>79</v>
      </c>
      <c r="D27" s="1" t="s">
        <v>24</v>
      </c>
      <c r="E27" s="1" t="s">
        <v>25</v>
      </c>
      <c r="F27" s="1" t="s">
        <v>15</v>
      </c>
      <c r="G27" s="1" t="s">
        <v>39</v>
      </c>
      <c r="H27" s="1">
        <v>5</v>
      </c>
      <c r="I27" s="1" t="s">
        <v>606</v>
      </c>
      <c r="J27" s="1" t="s">
        <v>607</v>
      </c>
      <c r="K27" s="1" t="str">
        <v>Pro Plan</v>
      </c>
      <c r="L27" s="1" t="str">
        <f t="shared" si="0"/>
        <v>Tom Wilson</v>
      </c>
      <c r="M27" s="1" t="str">
        <f t="shared" si="2"/>
        <v>EMEA</v>
      </c>
      <c r="N27" s="15">
        <f t="shared" ref="N27:O27" si="28">VALUE(SUBSTITUTE(SUBSTITUTE(SUBSTITUTE(I27,"$",""),",",""),".",","))</f>
        <v>150.54</v>
      </c>
      <c r="O27" s="5">
        <f t="shared" si="4"/>
        <v>752.69999999999993</v>
      </c>
    </row>
    <row r="28" spans="1:22" ht="15.75" customHeight="1">
      <c r="A28" s="1" t="s">
        <v>272</v>
      </c>
      <c r="B28" s="4">
        <v>45679</v>
      </c>
      <c r="C28" s="1" t="s">
        <v>70</v>
      </c>
      <c r="D28" s="1" t="s">
        <v>13</v>
      </c>
      <c r="E28" s="1" t="s">
        <v>107</v>
      </c>
      <c r="F28" s="1" t="s">
        <v>52</v>
      </c>
      <c r="G28" s="1" t="s">
        <v>39</v>
      </c>
      <c r="H28" s="1">
        <v>20</v>
      </c>
      <c r="I28" s="1" t="s">
        <v>273</v>
      </c>
      <c r="J28" s="1" t="s">
        <v>274</v>
      </c>
      <c r="K28" s="1" t="str">
        <v>Starter Plan</v>
      </c>
      <c r="L28" s="1" t="str">
        <f t="shared" si="0"/>
        <v>Sophie Laurent</v>
      </c>
      <c r="M28" s="1" t="str">
        <f t="shared" si="2"/>
        <v>EMEA</v>
      </c>
      <c r="N28" s="15">
        <f t="shared" ref="N28:O28" si="29">VALUE(SUBSTITUTE(SUBSTITUTE(SUBSTITUTE(I28,"$",""),",",""),".",","))</f>
        <v>79.13</v>
      </c>
      <c r="O28" s="5">
        <f t="shared" si="4"/>
        <v>1582.6</v>
      </c>
    </row>
    <row r="29" spans="1:22" ht="15.75" customHeight="1">
      <c r="A29" s="1" t="s">
        <v>557</v>
      </c>
      <c r="B29" s="4">
        <v>45717</v>
      </c>
      <c r="C29" s="1" t="s">
        <v>250</v>
      </c>
      <c r="D29" s="1" t="s">
        <v>37</v>
      </c>
      <c r="E29" s="1" t="s">
        <v>107</v>
      </c>
      <c r="F29" s="1" t="s">
        <v>52</v>
      </c>
      <c r="G29" s="1" t="s">
        <v>82</v>
      </c>
      <c r="H29" s="1">
        <v>5</v>
      </c>
      <c r="I29" s="1" t="s">
        <v>558</v>
      </c>
      <c r="J29" s="1" t="s">
        <v>559</v>
      </c>
      <c r="K29" s="1" t="str">
        <v>Add-on: Support</v>
      </c>
      <c r="L29" s="1" t="str">
        <f t="shared" si="0"/>
        <v>Sophie Laurent</v>
      </c>
      <c r="M29" s="1" t="str">
        <f t="shared" si="2"/>
        <v>LATAM</v>
      </c>
      <c r="N29" s="15">
        <f t="shared" ref="N29:O29" si="30">VALUE(SUBSTITUTE(SUBSTITUTE(SUBSTITUTE(I29,"$",""),",",""),".",","))</f>
        <v>131.72</v>
      </c>
      <c r="O29" s="5">
        <f t="shared" si="4"/>
        <v>658.6</v>
      </c>
    </row>
    <row r="30" spans="1:22" ht="15.75" customHeight="1">
      <c r="A30" s="1" t="s">
        <v>134</v>
      </c>
      <c r="B30" s="4">
        <v>45667</v>
      </c>
      <c r="C30" s="1" t="s">
        <v>135</v>
      </c>
      <c r="D30" s="1" t="s">
        <v>13</v>
      </c>
      <c r="E30" s="1" t="s">
        <v>107</v>
      </c>
      <c r="F30" s="1" t="s">
        <v>52</v>
      </c>
      <c r="G30" s="1" t="s">
        <v>71</v>
      </c>
      <c r="H30" s="1">
        <v>50</v>
      </c>
      <c r="I30" s="1" t="s">
        <v>136</v>
      </c>
      <c r="J30" s="1" t="s">
        <v>137</v>
      </c>
      <c r="K30" s="1" t="str">
        <v>Starter Plan</v>
      </c>
      <c r="L30" s="1" t="str">
        <f t="shared" si="0"/>
        <v>Sophie Laurent</v>
      </c>
      <c r="M30" s="1" t="str">
        <f t="shared" si="2"/>
        <v>APAC</v>
      </c>
      <c r="N30" s="15">
        <f t="shared" ref="N30:O30" si="31">VALUE(SUBSTITUTE(SUBSTITUTE(SUBSTITUTE(I30,"$",""),",",""),".",","))</f>
        <v>72.260000000000005</v>
      </c>
      <c r="O30" s="5">
        <f t="shared" si="4"/>
        <v>3613.0000000000005</v>
      </c>
    </row>
    <row r="31" spans="1:22" ht="15.75" customHeight="1">
      <c r="A31" s="1" t="s">
        <v>724</v>
      </c>
      <c r="B31" s="4">
        <v>45738</v>
      </c>
      <c r="C31" s="1" t="s">
        <v>169</v>
      </c>
      <c r="D31" s="1" t="s">
        <v>37</v>
      </c>
      <c r="E31" s="1" t="s">
        <v>14</v>
      </c>
      <c r="F31" s="1" t="s">
        <v>15</v>
      </c>
      <c r="G31" s="1" t="s">
        <v>17</v>
      </c>
      <c r="H31" s="1">
        <v>1</v>
      </c>
      <c r="I31" s="1" t="s">
        <v>725</v>
      </c>
      <c r="J31" s="1" t="s">
        <v>725</v>
      </c>
      <c r="K31" s="1" t="str">
        <v>Add-on: Support</v>
      </c>
      <c r="L31" s="1" t="str">
        <f t="shared" si="0"/>
        <v>Nina Petrov</v>
      </c>
      <c r="M31" s="1" t="str">
        <f t="shared" si="2"/>
        <v>North America</v>
      </c>
      <c r="N31" s="15">
        <f t="shared" ref="N31:O31" si="32">VALUE(SUBSTITUTE(SUBSTITUTE(SUBSTITUTE(I31,"$",""),",",""),".",","))</f>
        <v>147.96</v>
      </c>
      <c r="O31" s="5">
        <f t="shared" si="4"/>
        <v>147.96</v>
      </c>
    </row>
    <row r="32" spans="1:22" ht="15.75" customHeight="1">
      <c r="A32" s="1" t="s">
        <v>476</v>
      </c>
      <c r="B32" s="4">
        <v>45709</v>
      </c>
      <c r="C32" s="1" t="s">
        <v>61</v>
      </c>
      <c r="D32" s="1" t="s">
        <v>13</v>
      </c>
      <c r="E32" s="1" t="s">
        <v>38</v>
      </c>
      <c r="F32" s="1" t="s">
        <v>15</v>
      </c>
      <c r="G32" s="1" t="s">
        <v>71</v>
      </c>
      <c r="H32" s="1">
        <v>50</v>
      </c>
      <c r="I32" s="1" t="s">
        <v>477</v>
      </c>
      <c r="J32" s="1" t="s">
        <v>478</v>
      </c>
      <c r="K32" s="1" t="str">
        <v>Starter Plan</v>
      </c>
      <c r="L32" s="1" t="str">
        <f t="shared" si="0"/>
        <v>Elena Rossi</v>
      </c>
      <c r="M32" s="1" t="str">
        <f t="shared" si="2"/>
        <v>APAC</v>
      </c>
      <c r="N32" s="15">
        <f t="shared" ref="N32:O32" si="33">VALUE(SUBSTITUTE(SUBSTITUTE(SUBSTITUTE(I32,"$",""),",",""),".",","))</f>
        <v>71.739999999999995</v>
      </c>
      <c r="O32" s="5">
        <f t="shared" si="4"/>
        <v>3586.9999999999995</v>
      </c>
    </row>
    <row r="33" spans="1:15" ht="15.75" customHeight="1">
      <c r="A33" s="1" t="s">
        <v>531</v>
      </c>
      <c r="B33" s="4">
        <v>45715</v>
      </c>
      <c r="C33" s="1" t="s">
        <v>182</v>
      </c>
      <c r="D33" s="1" t="s">
        <v>13</v>
      </c>
      <c r="E33" s="1" t="s">
        <v>96</v>
      </c>
      <c r="F33" s="1" t="s">
        <v>50</v>
      </c>
      <c r="G33" s="1" t="s">
        <v>39</v>
      </c>
      <c r="H33" s="1">
        <v>1</v>
      </c>
      <c r="I33" s="1" t="s">
        <v>532</v>
      </c>
      <c r="J33" s="1" t="s">
        <v>533</v>
      </c>
      <c r="K33" s="1" t="str">
        <v>Starter Plan</v>
      </c>
      <c r="L33" s="1" t="str">
        <f t="shared" si="0"/>
        <v>Hannah Lee</v>
      </c>
      <c r="M33" s="1" t="str">
        <f t="shared" si="2"/>
        <v>EMEA</v>
      </c>
      <c r="N33" s="15">
        <f t="shared" ref="N33:O33" si="34">VALUE(SUBSTITUTE(SUBSTITUTE(SUBSTITUTE(I33,"$",""),",",""),".",","))</f>
        <v>45.23</v>
      </c>
      <c r="O33" s="5">
        <f t="shared" si="4"/>
        <v>45.23</v>
      </c>
    </row>
    <row r="34" spans="1:15" ht="15.75" customHeight="1">
      <c r="A34" s="1" t="s">
        <v>560</v>
      </c>
      <c r="B34" s="4">
        <v>45717</v>
      </c>
      <c r="C34" s="1" t="s">
        <v>47</v>
      </c>
      <c r="D34" s="1" t="s">
        <v>24</v>
      </c>
      <c r="E34" s="1" t="s">
        <v>49</v>
      </c>
      <c r="F34" s="1" t="s">
        <v>50</v>
      </c>
      <c r="G34" s="1" t="s">
        <v>82</v>
      </c>
      <c r="H34" s="1">
        <v>2</v>
      </c>
      <c r="I34" s="1" t="s">
        <v>561</v>
      </c>
      <c r="J34" s="1" t="s">
        <v>562</v>
      </c>
      <c r="K34" s="1" t="str">
        <v>Pro Plan</v>
      </c>
      <c r="L34" s="1" t="str">
        <f t="shared" si="0"/>
        <v>James Park</v>
      </c>
      <c r="M34" s="1" t="str">
        <f t="shared" si="2"/>
        <v>LATAM</v>
      </c>
      <c r="N34" s="15">
        <f t="shared" ref="N34:O34" si="35">VALUE(SUBSTITUTE(SUBSTITUTE(SUBSTITUTE(I34,"$",""),",",""),".",","))</f>
        <v>181.14</v>
      </c>
      <c r="O34" s="5">
        <f t="shared" si="4"/>
        <v>362.28</v>
      </c>
    </row>
    <row r="35" spans="1:15" ht="15.75" customHeight="1">
      <c r="A35" s="1" t="s">
        <v>576</v>
      </c>
      <c r="B35" s="4">
        <v>45718</v>
      </c>
      <c r="C35" s="1" t="s">
        <v>142</v>
      </c>
      <c r="D35" s="1" t="s">
        <v>13</v>
      </c>
      <c r="E35" s="1" t="s">
        <v>14</v>
      </c>
      <c r="F35" s="1" t="s">
        <v>15</v>
      </c>
      <c r="G35" s="1" t="s">
        <v>32</v>
      </c>
      <c r="H35" s="1">
        <v>2</v>
      </c>
      <c r="I35" s="1" t="s">
        <v>577</v>
      </c>
      <c r="J35" s="1" t="s">
        <v>578</v>
      </c>
      <c r="K35" s="1" t="str">
        <v>Starter Plan</v>
      </c>
      <c r="L35" s="1" t="str">
        <f t="shared" si="0"/>
        <v>Nina Petrov</v>
      </c>
      <c r="M35" s="1" t="str">
        <f t="shared" si="2"/>
        <v>LATAM</v>
      </c>
      <c r="N35" s="15">
        <f t="shared" ref="N35:O35" si="36">VALUE(SUBSTITUTE(SUBSTITUTE(SUBSTITUTE(I35,"$",""),",",""),".",","))</f>
        <v>65.03</v>
      </c>
      <c r="O35" s="5">
        <f t="shared" si="4"/>
        <v>130.06</v>
      </c>
    </row>
    <row r="36" spans="1:15" ht="15.75" customHeight="1">
      <c r="A36" s="1" t="s">
        <v>35</v>
      </c>
      <c r="B36" s="4">
        <v>45659</v>
      </c>
      <c r="C36" s="1" t="s">
        <v>36</v>
      </c>
      <c r="D36" s="1" t="s">
        <v>37</v>
      </c>
      <c r="E36" s="1" t="s">
        <v>38</v>
      </c>
      <c r="F36" s="1" t="s">
        <v>15</v>
      </c>
      <c r="G36" s="1" t="s">
        <v>39</v>
      </c>
      <c r="H36" s="1">
        <v>1</v>
      </c>
      <c r="I36" s="1" t="s">
        <v>40</v>
      </c>
      <c r="J36" s="1" t="s">
        <v>40</v>
      </c>
      <c r="K36" s="1" t="str">
        <v>Add-on: Support</v>
      </c>
      <c r="L36" s="1" t="str">
        <f t="shared" si="0"/>
        <v>Elena Rossi</v>
      </c>
      <c r="M36" s="1" t="str">
        <f t="shared" si="2"/>
        <v>EMEA</v>
      </c>
      <c r="N36" s="15">
        <f t="shared" ref="N36:O36" si="37">VALUE(SUBSTITUTE(SUBSTITUTE(SUBSTITUTE(I36,"$",""),",",""),".",","))</f>
        <v>112.19</v>
      </c>
      <c r="O36" s="5">
        <f t="shared" si="4"/>
        <v>112.19</v>
      </c>
    </row>
    <row r="37" spans="1:15" ht="15.75" customHeight="1">
      <c r="A37" s="1" t="s">
        <v>660</v>
      </c>
      <c r="B37" s="4">
        <v>45730</v>
      </c>
      <c r="C37" s="1" t="s">
        <v>222</v>
      </c>
      <c r="D37" s="1" t="s">
        <v>58</v>
      </c>
      <c r="E37" s="1" t="s">
        <v>30</v>
      </c>
      <c r="F37" s="1" t="s">
        <v>31</v>
      </c>
      <c r="G37" s="1" t="s">
        <v>71</v>
      </c>
      <c r="H37" s="1">
        <v>1</v>
      </c>
      <c r="I37" s="1" t="s">
        <v>661</v>
      </c>
      <c r="J37" s="1" t="s">
        <v>661</v>
      </c>
      <c r="K37" s="1" t="str">
        <v>Enterprise Plan</v>
      </c>
      <c r="L37" s="1" t="str">
        <f t="shared" si="0"/>
        <v>Marcus Johnson</v>
      </c>
      <c r="M37" s="1" t="str">
        <f t="shared" si="2"/>
        <v>APAC</v>
      </c>
      <c r="N37" s="15">
        <f t="shared" ref="N37:O37" si="38">VALUE(SUBSTITUTE(SUBSTITUTE(SUBSTITUTE(I37,"$",""),",",""),".",","))</f>
        <v>1266.8599999999999</v>
      </c>
      <c r="O37" s="5">
        <f t="shared" si="4"/>
        <v>1266.8599999999999</v>
      </c>
    </row>
    <row r="38" spans="1:15" ht="15.75" customHeight="1">
      <c r="A38" s="1" t="s">
        <v>233</v>
      </c>
      <c r="B38" s="4">
        <v>45675</v>
      </c>
      <c r="C38" s="1" t="s">
        <v>186</v>
      </c>
      <c r="D38" s="1" t="s">
        <v>48</v>
      </c>
      <c r="E38" s="1" t="s">
        <v>38</v>
      </c>
      <c r="F38" s="1" t="s">
        <v>15</v>
      </c>
      <c r="G38" s="1" t="s">
        <v>71</v>
      </c>
      <c r="H38" s="1">
        <v>1</v>
      </c>
      <c r="I38" s="1" t="s">
        <v>234</v>
      </c>
      <c r="J38" s="1" t="s">
        <v>234</v>
      </c>
      <c r="K38" s="1" t="str">
        <v>Business Plan</v>
      </c>
      <c r="L38" s="1" t="str">
        <f t="shared" si="0"/>
        <v>Elena Rossi</v>
      </c>
      <c r="M38" s="1" t="str">
        <f t="shared" si="2"/>
        <v>APAC</v>
      </c>
      <c r="N38" s="15">
        <f t="shared" ref="N38:O38" si="39">VALUE(SUBSTITUTE(SUBSTITUTE(SUBSTITUTE(I38,"$",""),",",""),".",","))</f>
        <v>389.23</v>
      </c>
      <c r="O38" s="5">
        <f t="shared" si="4"/>
        <v>389.23</v>
      </c>
    </row>
    <row r="39" spans="1:15" ht="15.75" customHeight="1">
      <c r="A39" s="1" t="s">
        <v>395</v>
      </c>
      <c r="B39" s="4">
        <v>45695</v>
      </c>
      <c r="C39" s="1" t="s">
        <v>100</v>
      </c>
      <c r="D39" s="1" t="s">
        <v>24</v>
      </c>
      <c r="E39" s="1" t="s">
        <v>14</v>
      </c>
      <c r="F39" s="1" t="s">
        <v>15</v>
      </c>
      <c r="G39" s="1" t="s">
        <v>230</v>
      </c>
      <c r="H39" s="1">
        <v>1</v>
      </c>
      <c r="I39" s="1" t="s">
        <v>396</v>
      </c>
      <c r="J39" s="1" t="s">
        <v>396</v>
      </c>
      <c r="K39" s="1" t="str">
        <v>Pro Plan</v>
      </c>
      <c r="L39" s="1" t="str">
        <f t="shared" si="0"/>
        <v>Nina Petrov</v>
      </c>
      <c r="M39" s="1" t="str">
        <f t="shared" si="2"/>
        <v>North America</v>
      </c>
      <c r="N39" s="15">
        <f t="shared" ref="N39:O39" si="40">VALUE(SUBSTITUTE(SUBSTITUTE(SUBSTITUTE(I39,"$",""),",",""),".",","))</f>
        <v>184.49</v>
      </c>
      <c r="O39" s="5">
        <f t="shared" si="4"/>
        <v>184.49</v>
      </c>
    </row>
    <row r="40" spans="1:15" ht="15.75" customHeight="1">
      <c r="A40" s="1" t="s">
        <v>593</v>
      </c>
      <c r="B40" s="4">
        <v>45720</v>
      </c>
      <c r="C40" s="1" t="s">
        <v>169</v>
      </c>
      <c r="D40" s="1" t="s">
        <v>13</v>
      </c>
      <c r="E40" s="1" t="s">
        <v>178</v>
      </c>
      <c r="F40" s="1" t="s">
        <v>31</v>
      </c>
      <c r="G40" s="1" t="s">
        <v>32</v>
      </c>
      <c r="H40" s="1">
        <v>1</v>
      </c>
      <c r="I40" s="1" t="s">
        <v>594</v>
      </c>
      <c r="J40" s="1" t="s">
        <v>595</v>
      </c>
      <c r="K40" s="1" t="str">
        <v>Starter Plan</v>
      </c>
      <c r="L40" s="1" t="str">
        <f t="shared" si="0"/>
        <v>Aisha Hassan</v>
      </c>
      <c r="M40" s="1" t="str">
        <f t="shared" si="2"/>
        <v>LATAM</v>
      </c>
      <c r="N40" s="15">
        <f t="shared" ref="N40:O40" si="41">VALUE(SUBSTITUTE(SUBSTITUTE(SUBSTITUTE(I40,"$",""),",",""),".",","))</f>
        <v>47.54</v>
      </c>
      <c r="O40" s="5">
        <f t="shared" si="4"/>
        <v>47.54</v>
      </c>
    </row>
    <row r="41" spans="1:15" ht="15.75" customHeight="1">
      <c r="A41" s="1" t="s">
        <v>649</v>
      </c>
      <c r="B41" s="4">
        <v>45729</v>
      </c>
      <c r="C41" s="1" t="s">
        <v>290</v>
      </c>
      <c r="D41" s="1" t="s">
        <v>13</v>
      </c>
      <c r="E41" s="1" t="s">
        <v>178</v>
      </c>
      <c r="F41" s="1" t="s">
        <v>31</v>
      </c>
      <c r="G41" s="1" t="s">
        <v>71</v>
      </c>
      <c r="H41" s="1">
        <v>1</v>
      </c>
      <c r="I41" s="1" t="s">
        <v>650</v>
      </c>
      <c r="J41" s="1" t="s">
        <v>651</v>
      </c>
      <c r="K41" s="1" t="str">
        <v>Starter Plan</v>
      </c>
      <c r="L41" s="1" t="str">
        <f t="shared" si="0"/>
        <v>Aisha Hassan</v>
      </c>
      <c r="M41" s="1" t="str">
        <f t="shared" si="2"/>
        <v>APAC</v>
      </c>
      <c r="N41" s="15">
        <f t="shared" ref="N41:O41" si="42">VALUE(SUBSTITUTE(SUBSTITUTE(SUBSTITUTE(I41,"$",""),",",""),".",","))</f>
        <v>76.75</v>
      </c>
      <c r="O41" s="5">
        <f t="shared" si="4"/>
        <v>76.75</v>
      </c>
    </row>
    <row r="42" spans="1:15" ht="15.75" customHeight="1">
      <c r="A42" s="1" t="s">
        <v>218</v>
      </c>
      <c r="B42" s="4">
        <v>45674</v>
      </c>
      <c r="C42" s="1" t="s">
        <v>36</v>
      </c>
      <c r="D42" s="1" t="s">
        <v>48</v>
      </c>
      <c r="E42" s="1" t="s">
        <v>178</v>
      </c>
      <c r="F42" s="1" t="s">
        <v>31</v>
      </c>
      <c r="G42" s="1" t="s">
        <v>71</v>
      </c>
      <c r="H42" s="1">
        <v>1</v>
      </c>
      <c r="I42" s="1" t="s">
        <v>219</v>
      </c>
      <c r="J42" s="1" t="s">
        <v>220</v>
      </c>
      <c r="K42" s="1" t="str">
        <v>Business Plan</v>
      </c>
      <c r="L42" s="1" t="str">
        <f t="shared" si="0"/>
        <v>Aisha Hassan</v>
      </c>
      <c r="M42" s="1" t="str">
        <f t="shared" si="2"/>
        <v>APAC</v>
      </c>
      <c r="N42" s="15">
        <f t="shared" ref="N42:O42" si="43">VALUE(SUBSTITUTE(SUBSTITUTE(SUBSTITUTE(I42,"$",""),",",""),".",","))</f>
        <v>451.68</v>
      </c>
      <c r="O42" s="5">
        <f t="shared" si="4"/>
        <v>451.68</v>
      </c>
    </row>
    <row r="43" spans="1:15" ht="15.75" customHeight="1">
      <c r="A43" s="1" t="s">
        <v>449</v>
      </c>
      <c r="B43" s="4">
        <v>45706</v>
      </c>
      <c r="C43" s="1" t="s">
        <v>12</v>
      </c>
      <c r="D43" s="1" t="s">
        <v>13</v>
      </c>
      <c r="E43" s="1" t="s">
        <v>163</v>
      </c>
      <c r="F43" s="1" t="s">
        <v>50</v>
      </c>
      <c r="G43" s="1" t="s">
        <v>39</v>
      </c>
      <c r="H43" s="1">
        <v>1</v>
      </c>
      <c r="I43" s="1" t="s">
        <v>450</v>
      </c>
      <c r="J43" s="1" t="s">
        <v>450</v>
      </c>
      <c r="K43" s="1" t="str">
        <v>Starter Plan</v>
      </c>
      <c r="L43" s="1" t="str">
        <f t="shared" si="0"/>
        <v>Raj Sharma</v>
      </c>
      <c r="M43" s="1" t="str">
        <f t="shared" si="2"/>
        <v>EMEA</v>
      </c>
      <c r="N43" s="15">
        <f t="shared" ref="N43:O43" si="44">VALUE(SUBSTITUTE(SUBSTITUTE(SUBSTITUTE(I43,"$",""),",",""),".",","))</f>
        <v>60.51</v>
      </c>
      <c r="O43" s="5">
        <f t="shared" si="4"/>
        <v>60.51</v>
      </c>
    </row>
    <row r="44" spans="1:15" ht="15.75" customHeight="1">
      <c r="A44" s="1" t="s">
        <v>708</v>
      </c>
      <c r="B44" s="4">
        <v>45736</v>
      </c>
      <c r="C44" s="1" t="s">
        <v>46</v>
      </c>
      <c r="D44" s="1" t="s">
        <v>117</v>
      </c>
      <c r="E44" s="1" t="s">
        <v>178</v>
      </c>
      <c r="F44" s="1" t="s">
        <v>31</v>
      </c>
      <c r="G44" s="1" t="s">
        <v>71</v>
      </c>
      <c r="H44" s="1">
        <v>5</v>
      </c>
      <c r="I44" s="1" t="s">
        <v>709</v>
      </c>
      <c r="J44" s="1" t="s">
        <v>710</v>
      </c>
      <c r="K44" s="1" t="str">
        <v>Add-on: Analytics</v>
      </c>
      <c r="L44" s="1" t="str">
        <f t="shared" si="0"/>
        <v>Aisha Hassan</v>
      </c>
      <c r="M44" s="1" t="str">
        <f t="shared" si="2"/>
        <v>APAC</v>
      </c>
      <c r="N44" s="15">
        <f t="shared" ref="N44:O44" si="45">VALUE(SUBSTITUTE(SUBSTITUTE(SUBSTITUTE(I44,"$",""),",",""),".",","))</f>
        <v>105.63</v>
      </c>
      <c r="O44" s="5">
        <f t="shared" si="4"/>
        <v>528.15</v>
      </c>
    </row>
    <row r="45" spans="1:15" ht="15.75" customHeight="1">
      <c r="A45" s="1" t="s">
        <v>418</v>
      </c>
      <c r="B45" s="4">
        <v>45697</v>
      </c>
      <c r="C45" s="1" t="s">
        <v>182</v>
      </c>
      <c r="D45" s="1" t="s">
        <v>58</v>
      </c>
      <c r="E45" s="1" t="s">
        <v>178</v>
      </c>
      <c r="F45" s="1" t="s">
        <v>31</v>
      </c>
      <c r="G45" s="1" t="s">
        <v>71</v>
      </c>
      <c r="H45" s="1">
        <v>10</v>
      </c>
      <c r="I45" s="22" t="s">
        <v>419</v>
      </c>
      <c r="J45" s="1" t="s">
        <v>420</v>
      </c>
      <c r="K45" s="1" t="str">
        <v>Enterprise Plan</v>
      </c>
      <c r="L45" s="1" t="str">
        <f t="shared" si="0"/>
        <v>Aisha Hassan</v>
      </c>
      <c r="M45" s="1" t="str">
        <f t="shared" si="2"/>
        <v>APAC</v>
      </c>
      <c r="N45" s="15">
        <f t="shared" ref="N45:O45" si="46">VALUE(SUBSTITUTE(SUBSTITUTE(SUBSTITUTE(I45,"$",""),",",""),".",","))</f>
        <v>1118.07</v>
      </c>
      <c r="O45" s="5">
        <f t="shared" si="4"/>
        <v>11180.699999999999</v>
      </c>
    </row>
    <row r="46" spans="1:15" ht="15.75" customHeight="1">
      <c r="A46" s="1" t="s">
        <v>451</v>
      </c>
      <c r="B46" s="4">
        <v>45706</v>
      </c>
      <c r="C46" s="1" t="s">
        <v>23</v>
      </c>
      <c r="D46" s="1" t="s">
        <v>13</v>
      </c>
      <c r="E46" s="1" t="s">
        <v>178</v>
      </c>
      <c r="F46" s="1" t="s">
        <v>31</v>
      </c>
      <c r="G46" s="1" t="s">
        <v>160</v>
      </c>
      <c r="H46" s="1">
        <v>5</v>
      </c>
      <c r="I46" s="1" t="s">
        <v>452</v>
      </c>
      <c r="J46" s="1" t="s">
        <v>453</v>
      </c>
      <c r="K46" s="1" t="str">
        <v>Starter Plan</v>
      </c>
      <c r="L46" s="1" t="str">
        <f t="shared" si="0"/>
        <v>Aisha Hassan</v>
      </c>
      <c r="M46" s="1" t="str">
        <f t="shared" si="2"/>
        <v>North America</v>
      </c>
      <c r="N46" s="15">
        <f t="shared" ref="N46:O46" si="47">VALUE(SUBSTITUTE(SUBSTITUTE(SUBSTITUTE(I46,"$",""),",",""),".",","))</f>
        <v>40.5</v>
      </c>
      <c r="O46" s="5">
        <f t="shared" si="4"/>
        <v>202.5</v>
      </c>
    </row>
    <row r="47" spans="1:15" ht="15.75" customHeight="1">
      <c r="A47" s="1" t="s">
        <v>698</v>
      </c>
      <c r="B47" s="4">
        <v>45735</v>
      </c>
      <c r="C47" s="1" t="s">
        <v>159</v>
      </c>
      <c r="D47" s="1" t="s">
        <v>58</v>
      </c>
      <c r="E47" s="1" t="s">
        <v>49</v>
      </c>
      <c r="F47" s="1" t="s">
        <v>50</v>
      </c>
      <c r="G47" s="1" t="s">
        <v>17</v>
      </c>
      <c r="H47" s="1">
        <v>2</v>
      </c>
      <c r="I47" s="6" t="s">
        <v>700</v>
      </c>
      <c r="J47" s="1" t="s">
        <v>701</v>
      </c>
      <c r="K47" s="1" t="str">
        <v>Enterprise Plan</v>
      </c>
      <c r="L47" s="1" t="str">
        <f t="shared" si="0"/>
        <v>James Park</v>
      </c>
      <c r="M47" s="1" t="str">
        <f t="shared" si="2"/>
        <v>North America</v>
      </c>
      <c r="N47" s="15">
        <f t="shared" ref="N47:O47" si="48">VALUE(SUBSTITUTE(SUBSTITUTE(SUBSTITUTE(I47,"$",""),",",""),".",","))</f>
        <v>1266.5</v>
      </c>
      <c r="O47" s="5">
        <f t="shared" si="4"/>
        <v>2533</v>
      </c>
    </row>
    <row r="48" spans="1:15" ht="15.75" customHeight="1">
      <c r="A48" s="1" t="s">
        <v>524</v>
      </c>
      <c r="B48" s="4">
        <v>45714</v>
      </c>
      <c r="C48" s="1" t="s">
        <v>435</v>
      </c>
      <c r="D48" s="1" t="s">
        <v>525</v>
      </c>
      <c r="E48" s="1" t="s">
        <v>49</v>
      </c>
      <c r="F48" s="1" t="s">
        <v>50</v>
      </c>
      <c r="G48" s="1" t="s">
        <v>160</v>
      </c>
      <c r="H48" s="1">
        <v>20</v>
      </c>
      <c r="I48" s="1" t="s">
        <v>526</v>
      </c>
      <c r="J48" s="6">
        <v>111797</v>
      </c>
      <c r="K48" s="1" t="str">
        <v>Starter Plan</v>
      </c>
      <c r="L48" s="1" t="str">
        <f t="shared" si="0"/>
        <v>James Park</v>
      </c>
      <c r="M48" s="1" t="str">
        <f t="shared" si="2"/>
        <v>North America</v>
      </c>
      <c r="N48" s="15">
        <f t="shared" ref="N48:O48" si="49">VALUE(SUBSTITUTE(SUBSTITUTE(SUBSTITUTE(I48,"$",""),",",""),".",","))</f>
        <v>110.31</v>
      </c>
      <c r="O48" s="5">
        <f t="shared" si="4"/>
        <v>2206.1999999999998</v>
      </c>
    </row>
    <row r="49" spans="1:15" ht="15.75" customHeight="1">
      <c r="A49" s="1" t="s">
        <v>261</v>
      </c>
      <c r="B49" s="4">
        <v>45678</v>
      </c>
      <c r="C49" s="1" t="s">
        <v>262</v>
      </c>
      <c r="D49" s="1" t="s">
        <v>24</v>
      </c>
      <c r="E49" s="1" t="s">
        <v>51</v>
      </c>
      <c r="F49" s="1" t="s">
        <v>52</v>
      </c>
      <c r="G49" s="1" t="s">
        <v>71</v>
      </c>
      <c r="H49" s="1">
        <v>2</v>
      </c>
      <c r="I49" s="1" t="s">
        <v>264</v>
      </c>
      <c r="J49" s="1" t="s">
        <v>265</v>
      </c>
      <c r="K49" s="1" t="str">
        <v>Pro Plan</v>
      </c>
      <c r="L49" s="1" t="str">
        <f t="shared" si="0"/>
        <v>Priya Patel</v>
      </c>
      <c r="M49" s="1" t="str">
        <f t="shared" si="2"/>
        <v>APAC</v>
      </c>
      <c r="N49" s="15">
        <f t="shared" ref="N49:O49" si="50">VALUE(SUBSTITUTE(SUBSTITUTE(SUBSTITUTE(I49,"$",""),",",""),".",","))</f>
        <v>153.06</v>
      </c>
      <c r="O49" s="5">
        <f t="shared" si="4"/>
        <v>306.12</v>
      </c>
    </row>
    <row r="50" spans="1:15" ht="15.75" customHeight="1">
      <c r="A50" s="1" t="s">
        <v>506</v>
      </c>
      <c r="B50" s="4">
        <v>45712</v>
      </c>
      <c r="C50" s="1" t="s">
        <v>329</v>
      </c>
      <c r="D50" s="1" t="s">
        <v>117</v>
      </c>
      <c r="E50" s="1" t="s">
        <v>30</v>
      </c>
      <c r="F50" s="1" t="s">
        <v>31</v>
      </c>
      <c r="G50" s="1" t="s">
        <v>17</v>
      </c>
      <c r="H50" s="1">
        <v>1</v>
      </c>
      <c r="I50" s="1" t="s">
        <v>507</v>
      </c>
      <c r="J50" s="1" t="s">
        <v>507</v>
      </c>
      <c r="K50" s="1" t="str">
        <v>Add-on: Analytics</v>
      </c>
      <c r="L50" s="1" t="str">
        <f t="shared" si="0"/>
        <v>Marcus Johnson</v>
      </c>
      <c r="M50" s="1" t="str">
        <f t="shared" si="2"/>
        <v>North America</v>
      </c>
      <c r="N50" s="15">
        <f t="shared" ref="N50:O50" si="51">VALUE(SUBSTITUTE(SUBSTITUTE(SUBSTITUTE(I50,"$",""),",",""),".",","))</f>
        <v>67.42</v>
      </c>
      <c r="O50" s="5">
        <f t="shared" si="4"/>
        <v>67.42</v>
      </c>
    </row>
    <row r="51" spans="1:15" ht="15.75" customHeight="1">
      <c r="A51" s="1" t="s">
        <v>434</v>
      </c>
      <c r="B51" s="4">
        <v>45700</v>
      </c>
      <c r="C51" s="1" t="s">
        <v>435</v>
      </c>
      <c r="D51" s="1" t="s">
        <v>13</v>
      </c>
      <c r="E51" s="1" t="s">
        <v>96</v>
      </c>
      <c r="F51" s="1" t="s">
        <v>50</v>
      </c>
      <c r="G51" s="1" t="s">
        <v>17</v>
      </c>
      <c r="H51" s="1">
        <v>5</v>
      </c>
      <c r="I51" s="1" t="s">
        <v>436</v>
      </c>
      <c r="J51" s="1" t="s">
        <v>437</v>
      </c>
      <c r="K51" s="1" t="str">
        <v>Starter Plan</v>
      </c>
      <c r="L51" s="1" t="str">
        <f t="shared" si="0"/>
        <v>Hannah Lee</v>
      </c>
      <c r="M51" s="1" t="str">
        <f t="shared" si="2"/>
        <v>North America</v>
      </c>
      <c r="N51" s="15">
        <f t="shared" ref="N51:O51" si="52">VALUE(SUBSTITUTE(SUBSTITUTE(SUBSTITUTE(I51,"$",""),",",""),".",","))</f>
        <v>52.69</v>
      </c>
      <c r="O51" s="5">
        <f t="shared" si="4"/>
        <v>263.45</v>
      </c>
    </row>
    <row r="52" spans="1:15" ht="15.75" customHeight="1">
      <c r="A52" s="1" t="s">
        <v>348</v>
      </c>
      <c r="B52" s="4">
        <v>45687</v>
      </c>
      <c r="C52" s="1" t="s">
        <v>262</v>
      </c>
      <c r="D52" s="1" t="s">
        <v>58</v>
      </c>
      <c r="E52" s="1" t="s">
        <v>38</v>
      </c>
      <c r="F52" s="1" t="s">
        <v>15</v>
      </c>
      <c r="G52" s="1" t="s">
        <v>71</v>
      </c>
      <c r="H52" s="1">
        <v>2</v>
      </c>
      <c r="I52" s="1" t="s">
        <v>349</v>
      </c>
      <c r="J52" s="1" t="s">
        <v>350</v>
      </c>
      <c r="K52" s="1" t="str">
        <v>Enterprise Plan</v>
      </c>
      <c r="L52" s="1" t="str">
        <f t="shared" si="0"/>
        <v>Elena Rossi</v>
      </c>
      <c r="M52" s="1" t="str">
        <f t="shared" si="2"/>
        <v>APAC</v>
      </c>
      <c r="N52" s="15">
        <f t="shared" ref="N52:O52" si="53">VALUE(SUBSTITUTE(SUBSTITUTE(SUBSTITUTE(I52,"$",""),",",""),".",","))</f>
        <v>1035.3399999999999</v>
      </c>
      <c r="O52" s="5">
        <f t="shared" si="4"/>
        <v>2070.6799999999998</v>
      </c>
    </row>
    <row r="53" spans="1:15" ht="12.5">
      <c r="A53" s="1" t="s">
        <v>479</v>
      </c>
      <c r="B53" s="4">
        <v>45709</v>
      </c>
      <c r="C53" s="1" t="s">
        <v>135</v>
      </c>
      <c r="D53" s="1" t="s">
        <v>48</v>
      </c>
      <c r="E53" s="1" t="s">
        <v>107</v>
      </c>
      <c r="F53" s="1" t="s">
        <v>52</v>
      </c>
      <c r="G53" s="1" t="s">
        <v>39</v>
      </c>
      <c r="H53" s="1">
        <v>10</v>
      </c>
      <c r="I53" s="1" t="s">
        <v>480</v>
      </c>
      <c r="J53" s="6">
        <v>1098682</v>
      </c>
      <c r="K53" s="1" t="str">
        <v>Business Plan</v>
      </c>
      <c r="L53" s="1" t="str">
        <f t="shared" si="0"/>
        <v>Sophie Laurent</v>
      </c>
      <c r="M53" s="1" t="str">
        <f t="shared" si="2"/>
        <v>EMEA</v>
      </c>
      <c r="N53" s="15">
        <f t="shared" ref="N53:O53" si="54">VALUE(SUBSTITUTE(SUBSTITUTE(SUBSTITUTE(I53,"$",""),",",""),".",","))</f>
        <v>490.82</v>
      </c>
      <c r="O53" s="5">
        <f t="shared" si="4"/>
        <v>4908.2</v>
      </c>
    </row>
    <row r="54" spans="1:15" ht="12.5">
      <c r="A54" s="1" t="s">
        <v>733</v>
      </c>
      <c r="B54" s="4">
        <v>45740</v>
      </c>
      <c r="C54" s="1" t="s">
        <v>169</v>
      </c>
      <c r="D54" s="1" t="s">
        <v>13</v>
      </c>
      <c r="E54" s="1" t="s">
        <v>67</v>
      </c>
      <c r="F54" s="1" t="s">
        <v>52</v>
      </c>
      <c r="G54" s="1" t="s">
        <v>39</v>
      </c>
      <c r="H54" s="1">
        <v>50</v>
      </c>
      <c r="I54" s="1" t="s">
        <v>734</v>
      </c>
      <c r="J54" s="1" t="s">
        <v>735</v>
      </c>
      <c r="K54" s="1" t="str">
        <v>Starter Plan</v>
      </c>
      <c r="L54" s="1" t="str">
        <f t="shared" si="0"/>
        <v>Carlos Mendez</v>
      </c>
      <c r="M54" s="1" t="str">
        <f t="shared" si="2"/>
        <v>EMEA</v>
      </c>
      <c r="N54" s="15">
        <f t="shared" ref="N54:O54" si="55">VALUE(SUBSTITUTE(SUBSTITUTE(SUBSTITUTE(I54,"$",""),",",""),".",","))</f>
        <v>48.49</v>
      </c>
      <c r="O54" s="5">
        <f t="shared" si="4"/>
        <v>2424.5</v>
      </c>
    </row>
    <row r="55" spans="1:15" ht="12.5">
      <c r="A55" s="1" t="s">
        <v>60</v>
      </c>
      <c r="B55" s="4">
        <v>45661</v>
      </c>
      <c r="C55" s="1" t="s">
        <v>61</v>
      </c>
      <c r="D55" s="1" t="s">
        <v>58</v>
      </c>
      <c r="E55" s="1" t="s">
        <v>62</v>
      </c>
      <c r="F55" s="1" t="s">
        <v>31</v>
      </c>
      <c r="G55" s="1" t="s">
        <v>39</v>
      </c>
      <c r="H55" s="1">
        <v>2</v>
      </c>
      <c r="I55" s="1" t="s">
        <v>63</v>
      </c>
      <c r="J55" s="1" t="s">
        <v>64</v>
      </c>
      <c r="K55" s="1" t="str">
        <v>Enterprise Plan</v>
      </c>
      <c r="L55" s="1" t="str">
        <f t="shared" si="0"/>
        <v>David Kim</v>
      </c>
      <c r="M55" s="1" t="str">
        <f t="shared" si="2"/>
        <v>EMEA</v>
      </c>
      <c r="N55" s="15">
        <f t="shared" ref="N55:O55" si="56">VALUE(SUBSTITUTE(SUBSTITUTE(SUBSTITUTE(I55,"$",""),",",""),".",","))</f>
        <v>1182.78</v>
      </c>
      <c r="O55" s="5">
        <f t="shared" si="4"/>
        <v>2365.56</v>
      </c>
    </row>
    <row r="56" spans="1:15" ht="12.5">
      <c r="A56" s="1" t="s">
        <v>368</v>
      </c>
      <c r="B56" s="4">
        <v>45690</v>
      </c>
      <c r="C56" s="1" t="s">
        <v>47</v>
      </c>
      <c r="D56" s="1" t="s">
        <v>13</v>
      </c>
      <c r="E56" s="1" t="s">
        <v>163</v>
      </c>
      <c r="F56" s="1" t="s">
        <v>50</v>
      </c>
      <c r="G56" s="1" t="s">
        <v>39</v>
      </c>
      <c r="H56" s="1">
        <v>5</v>
      </c>
      <c r="I56" s="1" t="s">
        <v>369</v>
      </c>
      <c r="J56" s="1" t="s">
        <v>370</v>
      </c>
      <c r="K56" s="1" t="str">
        <v>Starter Plan</v>
      </c>
      <c r="L56" s="1" t="str">
        <f t="shared" si="0"/>
        <v>Raj Sharma</v>
      </c>
      <c r="M56" s="1" t="str">
        <f t="shared" si="2"/>
        <v>EMEA</v>
      </c>
      <c r="N56" s="15">
        <f t="shared" ref="N56:O56" si="57">VALUE(SUBSTITUTE(SUBSTITUTE(SUBSTITUTE(I56,"$",""),",",""),".",","))</f>
        <v>42.45</v>
      </c>
      <c r="O56" s="5">
        <f t="shared" si="4"/>
        <v>212.25</v>
      </c>
    </row>
    <row r="57" spans="1:15" ht="12.5">
      <c r="A57" s="1" t="s">
        <v>534</v>
      </c>
      <c r="B57" s="4">
        <v>45715</v>
      </c>
      <c r="C57" s="1" t="s">
        <v>262</v>
      </c>
      <c r="D57" s="1" t="s">
        <v>13</v>
      </c>
      <c r="E57" s="1" t="s">
        <v>178</v>
      </c>
      <c r="F57" s="1" t="s">
        <v>31</v>
      </c>
      <c r="G57" s="1" t="s">
        <v>82</v>
      </c>
      <c r="H57" s="1">
        <v>2</v>
      </c>
      <c r="I57" s="1" t="s">
        <v>535</v>
      </c>
      <c r="J57" s="1" t="s">
        <v>536</v>
      </c>
      <c r="K57" s="1" t="str">
        <v>Starter Plan</v>
      </c>
      <c r="L57" s="1" t="str">
        <f t="shared" si="0"/>
        <v>Aisha Hassan</v>
      </c>
      <c r="M57" s="1" t="str">
        <f t="shared" si="2"/>
        <v>LATAM</v>
      </c>
      <c r="N57" s="15">
        <f t="shared" ref="N57:O57" si="58">VALUE(SUBSTITUTE(SUBSTITUTE(SUBSTITUTE(I57,"$",""),",",""),".",","))</f>
        <v>77.48</v>
      </c>
      <c r="O57" s="5">
        <f t="shared" si="4"/>
        <v>154.96</v>
      </c>
    </row>
    <row r="58" spans="1:15" ht="12.5">
      <c r="A58" s="1" t="s">
        <v>711</v>
      </c>
      <c r="B58" s="4">
        <v>45736</v>
      </c>
      <c r="C58" s="1" t="s">
        <v>182</v>
      </c>
      <c r="D58" s="1" t="s">
        <v>48</v>
      </c>
      <c r="E58" s="1" t="s">
        <v>30</v>
      </c>
      <c r="F58" s="1" t="s">
        <v>31</v>
      </c>
      <c r="G58" s="1" t="s">
        <v>39</v>
      </c>
      <c r="H58" s="1">
        <v>2</v>
      </c>
      <c r="I58" s="1" t="s">
        <v>712</v>
      </c>
      <c r="J58" s="1" t="s">
        <v>713</v>
      </c>
      <c r="K58" s="1" t="str">
        <v>Business Plan</v>
      </c>
      <c r="L58" s="1" t="str">
        <f t="shared" si="0"/>
        <v>Marcus Johnson</v>
      </c>
      <c r="M58" s="1" t="str">
        <f t="shared" si="2"/>
        <v>EMEA</v>
      </c>
      <c r="N58" s="15">
        <f t="shared" ref="N58:O58" si="59">VALUE(SUBSTITUTE(SUBSTITUTE(SUBSTITUTE(I58,"$",""),",",""),".",","))</f>
        <v>421.73</v>
      </c>
      <c r="O58" s="5">
        <f t="shared" si="4"/>
        <v>843.46</v>
      </c>
    </row>
    <row r="59" spans="1:15" ht="12.5">
      <c r="A59" s="1" t="s">
        <v>179</v>
      </c>
      <c r="B59" s="4">
        <v>45670</v>
      </c>
      <c r="C59" s="1" t="s">
        <v>46</v>
      </c>
      <c r="D59" s="1" t="s">
        <v>48</v>
      </c>
      <c r="E59" s="1" t="s">
        <v>30</v>
      </c>
      <c r="F59" s="1" t="s">
        <v>31</v>
      </c>
      <c r="G59" s="1" t="s">
        <v>71</v>
      </c>
      <c r="H59" s="1">
        <v>5</v>
      </c>
      <c r="I59" s="1" t="s">
        <v>180</v>
      </c>
      <c r="J59" s="6">
        <v>77919</v>
      </c>
      <c r="K59" s="1" t="str">
        <v>Business Plan</v>
      </c>
      <c r="L59" s="1" t="str">
        <f t="shared" si="0"/>
        <v>Marcus Johnson</v>
      </c>
      <c r="M59" s="1" t="str">
        <f t="shared" si="2"/>
        <v>APAC</v>
      </c>
      <c r="N59" s="15">
        <f t="shared" ref="N59:O59" si="60">VALUE(SUBSTITUTE(SUBSTITUTE(SUBSTITUTE(I59,"$",""),",",""),".",","))</f>
        <v>422.7</v>
      </c>
      <c r="O59" s="5">
        <f t="shared" si="4"/>
        <v>2113.5</v>
      </c>
    </row>
    <row r="60" spans="1:15" ht="12.5">
      <c r="A60" s="1" t="s">
        <v>360</v>
      </c>
      <c r="B60" s="4">
        <v>45689</v>
      </c>
      <c r="C60" s="1" t="s">
        <v>47</v>
      </c>
      <c r="D60" s="1" t="s">
        <v>117</v>
      </c>
      <c r="E60" s="1" t="s">
        <v>67</v>
      </c>
      <c r="F60" s="1" t="s">
        <v>52</v>
      </c>
      <c r="G60" s="1" t="s">
        <v>39</v>
      </c>
      <c r="H60" s="1">
        <v>1</v>
      </c>
      <c r="I60" s="1" t="s">
        <v>361</v>
      </c>
      <c r="J60" s="1" t="s">
        <v>361</v>
      </c>
      <c r="K60" s="1" t="str">
        <v>Add-on: Analytics</v>
      </c>
      <c r="L60" s="1" t="str">
        <f t="shared" si="0"/>
        <v>Carlos Mendez</v>
      </c>
      <c r="M60" s="1" t="str">
        <f t="shared" si="2"/>
        <v>EMEA</v>
      </c>
      <c r="N60" s="15">
        <f t="shared" ref="N60:O60" si="61">VALUE(SUBSTITUTE(SUBSTITUTE(SUBSTITUTE(I60,"$",""),",",""),".",","))</f>
        <v>104.29</v>
      </c>
      <c r="O60" s="5">
        <f t="shared" si="4"/>
        <v>104.29</v>
      </c>
    </row>
    <row r="61" spans="1:15" ht="12.5">
      <c r="A61" s="1" t="s">
        <v>629</v>
      </c>
      <c r="B61" s="4">
        <v>45727</v>
      </c>
      <c r="C61" s="1" t="s">
        <v>23</v>
      </c>
      <c r="D61" s="1" t="s">
        <v>13</v>
      </c>
      <c r="E61" s="1" t="s">
        <v>178</v>
      </c>
      <c r="F61" s="1" t="s">
        <v>31</v>
      </c>
      <c r="G61" s="1" t="s">
        <v>71</v>
      </c>
      <c r="H61" s="1">
        <v>5</v>
      </c>
      <c r="I61" s="1" t="s">
        <v>630</v>
      </c>
      <c r="J61" s="1" t="s">
        <v>631</v>
      </c>
      <c r="K61" s="1" t="str">
        <v>Starter Plan</v>
      </c>
      <c r="L61" s="1" t="str">
        <f t="shared" si="0"/>
        <v>Aisha Hassan</v>
      </c>
      <c r="M61" s="1" t="str">
        <f t="shared" si="2"/>
        <v>APAC</v>
      </c>
      <c r="N61" s="15">
        <f t="shared" ref="N61:O61" si="62">VALUE(SUBSTITUTE(SUBSTITUTE(SUBSTITUTE(I61,"$",""),",",""),".",","))</f>
        <v>60.18</v>
      </c>
      <c r="O61" s="5">
        <f t="shared" si="4"/>
        <v>300.89999999999998</v>
      </c>
    </row>
    <row r="62" spans="1:15" ht="12.5">
      <c r="A62" s="1" t="s">
        <v>619</v>
      </c>
      <c r="B62" s="4">
        <v>45725</v>
      </c>
      <c r="C62" s="1" t="s">
        <v>46</v>
      </c>
      <c r="D62" s="1" t="s">
        <v>24</v>
      </c>
      <c r="E62" s="1" t="s">
        <v>30</v>
      </c>
      <c r="F62" s="1" t="s">
        <v>31</v>
      </c>
      <c r="G62" s="1" t="s">
        <v>39</v>
      </c>
      <c r="H62" s="1">
        <v>5</v>
      </c>
      <c r="I62" s="1" t="s">
        <v>620</v>
      </c>
      <c r="J62" s="1" t="s">
        <v>621</v>
      </c>
      <c r="K62" s="1" t="str">
        <v>Pro Plan</v>
      </c>
      <c r="L62" s="1" t="str">
        <f t="shared" si="0"/>
        <v>Marcus Johnson</v>
      </c>
      <c r="M62" s="1" t="str">
        <f t="shared" si="2"/>
        <v>EMEA</v>
      </c>
      <c r="N62" s="15">
        <f t="shared" ref="N62:O62" si="63">VALUE(SUBSTITUTE(SUBSTITUTE(SUBSTITUTE(I62,"$",""),",",""),".",","))</f>
        <v>213.15</v>
      </c>
      <c r="O62" s="5">
        <f t="shared" si="4"/>
        <v>1065.75</v>
      </c>
    </row>
    <row r="63" spans="1:15" ht="12.5">
      <c r="A63" s="1" t="s">
        <v>300</v>
      </c>
      <c r="B63" s="4">
        <v>45682</v>
      </c>
      <c r="C63" s="1" t="s">
        <v>106</v>
      </c>
      <c r="D63" s="1" t="s">
        <v>13</v>
      </c>
      <c r="E63" s="1" t="s">
        <v>107</v>
      </c>
      <c r="F63" s="1" t="s">
        <v>52</v>
      </c>
      <c r="G63" s="1" t="s">
        <v>17</v>
      </c>
      <c r="H63" s="1">
        <v>10</v>
      </c>
      <c r="I63" s="1" t="s">
        <v>301</v>
      </c>
      <c r="J63" s="1" t="s">
        <v>302</v>
      </c>
      <c r="K63" s="1" t="str">
        <v>Starter Plan</v>
      </c>
      <c r="L63" s="1" t="str">
        <f t="shared" si="0"/>
        <v>Sophie Laurent</v>
      </c>
      <c r="M63" s="1" t="str">
        <f t="shared" si="2"/>
        <v>North America</v>
      </c>
      <c r="N63" s="15">
        <f t="shared" ref="N63:O63" si="64">VALUE(SUBSTITUTE(SUBSTITUTE(SUBSTITUTE(I63,"$",""),",",""),".",","))</f>
        <v>53.37</v>
      </c>
      <c r="O63" s="5">
        <f t="shared" si="4"/>
        <v>533.69999999999993</v>
      </c>
    </row>
    <row r="64" spans="1:15" ht="12.5">
      <c r="A64" s="1" t="s">
        <v>121</v>
      </c>
      <c r="B64" s="4">
        <v>45664</v>
      </c>
      <c r="C64" s="1" t="s">
        <v>122</v>
      </c>
      <c r="D64" s="1" t="s">
        <v>37</v>
      </c>
      <c r="E64" s="1" t="s">
        <v>30</v>
      </c>
      <c r="F64" s="1" t="s">
        <v>31</v>
      </c>
      <c r="G64" s="1" t="s">
        <v>17</v>
      </c>
      <c r="H64" s="1">
        <v>1</v>
      </c>
      <c r="I64" s="1" t="s">
        <v>123</v>
      </c>
      <c r="J64" s="1" t="s">
        <v>123</v>
      </c>
      <c r="K64" s="1" t="str">
        <v>Add-on: Support</v>
      </c>
      <c r="L64" s="1" t="str">
        <f t="shared" si="0"/>
        <v>Marcus Johnson</v>
      </c>
      <c r="M64" s="1" t="str">
        <f t="shared" si="2"/>
        <v>North America</v>
      </c>
      <c r="N64" s="15">
        <f t="shared" ref="N64:O64" si="65">VALUE(SUBSTITUTE(SUBSTITUTE(SUBSTITUTE(I64,"$",""),",",""),".",","))</f>
        <v>93.27</v>
      </c>
      <c r="O64" s="5">
        <f t="shared" si="4"/>
        <v>93.27</v>
      </c>
    </row>
    <row r="65" spans="1:15" ht="12.5">
      <c r="A65" s="1" t="s">
        <v>310</v>
      </c>
      <c r="B65" s="4">
        <v>45683</v>
      </c>
      <c r="C65" s="1" t="s">
        <v>250</v>
      </c>
      <c r="D65" s="1" t="s">
        <v>311</v>
      </c>
      <c r="E65" s="1" t="s">
        <v>38</v>
      </c>
      <c r="F65" s="1" t="s">
        <v>15</v>
      </c>
      <c r="G65" s="1" t="s">
        <v>71</v>
      </c>
      <c r="H65" s="1">
        <v>1</v>
      </c>
      <c r="I65" s="1" t="s">
        <v>312</v>
      </c>
      <c r="J65" s="1" t="s">
        <v>312</v>
      </c>
      <c r="K65" s="1" t="str">
        <v>Business Plan</v>
      </c>
      <c r="L65" s="1" t="str">
        <f t="shared" si="0"/>
        <v>Elena Rossi</v>
      </c>
      <c r="M65" s="1" t="str">
        <f t="shared" si="2"/>
        <v>APAC</v>
      </c>
      <c r="N65" s="15">
        <f t="shared" ref="N65:O65" si="66">VALUE(SUBSTITUTE(SUBSTITUTE(SUBSTITUTE(I65,"$",""),",",""),".",","))</f>
        <v>61.21</v>
      </c>
      <c r="O65" s="5">
        <f t="shared" si="4"/>
        <v>61.21</v>
      </c>
    </row>
    <row r="66" spans="1:15" ht="12.5">
      <c r="A66" s="1" t="s">
        <v>622</v>
      </c>
      <c r="B66" s="4">
        <v>45725</v>
      </c>
      <c r="C66" s="1" t="s">
        <v>79</v>
      </c>
      <c r="D66" s="1" t="s">
        <v>13</v>
      </c>
      <c r="E66" s="1" t="s">
        <v>25</v>
      </c>
      <c r="F66" s="1" t="s">
        <v>15</v>
      </c>
      <c r="G66" s="1" t="s">
        <v>71</v>
      </c>
      <c r="H66" s="1">
        <v>2</v>
      </c>
      <c r="I66" s="1" t="s">
        <v>623</v>
      </c>
      <c r="J66" s="1" t="s">
        <v>624</v>
      </c>
      <c r="K66" s="1" t="str">
        <v>Starter Plan</v>
      </c>
      <c r="L66" s="1" t="str">
        <f t="shared" si="0"/>
        <v>Tom Wilson</v>
      </c>
      <c r="M66" s="1" t="str">
        <f t="shared" si="2"/>
        <v>APAC</v>
      </c>
      <c r="N66" s="15">
        <f t="shared" ref="N66:O66" si="67">VALUE(SUBSTITUTE(SUBSTITUTE(SUBSTITUTE(I66,"$",""),",",""),".",","))</f>
        <v>67.86</v>
      </c>
      <c r="O66" s="5">
        <f t="shared" si="4"/>
        <v>135.72</v>
      </c>
    </row>
    <row r="67" spans="1:15" ht="12.5">
      <c r="A67" s="1" t="s">
        <v>154</v>
      </c>
      <c r="B67" s="4">
        <v>45668</v>
      </c>
      <c r="C67" s="1" t="s">
        <v>135</v>
      </c>
      <c r="D67" s="1" t="s">
        <v>24</v>
      </c>
      <c r="E67" s="1" t="s">
        <v>62</v>
      </c>
      <c r="F67" s="1" t="s">
        <v>31</v>
      </c>
      <c r="G67" s="1" t="s">
        <v>39</v>
      </c>
      <c r="H67" s="1">
        <v>2</v>
      </c>
      <c r="I67" s="1" t="s">
        <v>156</v>
      </c>
      <c r="J67" s="1" t="s">
        <v>157</v>
      </c>
      <c r="K67" s="1" t="str">
        <v>Pro Plan</v>
      </c>
      <c r="L67" s="1" t="str">
        <f t="shared" si="0"/>
        <v>David Kim</v>
      </c>
      <c r="M67" s="1" t="str">
        <f t="shared" ref="M67:M130" si="68">IF(G67="","",IF(LOWER(TRIM(G67))="north america","North America",IF(LOWER(TRIM(G67))="emea","EMEA",IF(LOWER(TRIM(G67))="apac","APAC",IF(LOWER(TRIM(G67))="latam","LATAM",TRIM(G67))))))</f>
        <v>EMEA</v>
      </c>
      <c r="N67" s="15">
        <f t="shared" ref="N67:O67" si="69">VALUE(SUBSTITUTE(SUBSTITUTE(SUBSTITUTE(I67,"$",""),",",""),".",","))</f>
        <v>171.17</v>
      </c>
      <c r="O67" s="5">
        <f t="shared" ref="O67:O130" si="70">IF(OR(H67="",N67=""),"",H67*N67)</f>
        <v>342.34</v>
      </c>
    </row>
    <row r="68" spans="1:15" ht="12.5">
      <c r="A68" s="1" t="s">
        <v>246</v>
      </c>
      <c r="B68" s="4">
        <v>45677</v>
      </c>
      <c r="C68" s="1" t="s">
        <v>106</v>
      </c>
      <c r="D68" s="1" t="s">
        <v>13</v>
      </c>
      <c r="E68" s="1" t="s">
        <v>163</v>
      </c>
      <c r="F68" s="1" t="s">
        <v>50</v>
      </c>
      <c r="G68" s="1" t="s">
        <v>32</v>
      </c>
      <c r="H68" s="1">
        <v>20</v>
      </c>
      <c r="I68" s="1" t="s">
        <v>247</v>
      </c>
      <c r="J68" s="1" t="s">
        <v>248</v>
      </c>
      <c r="K68" s="1" t="str">
        <v>Starter Plan</v>
      </c>
      <c r="L68" s="1" t="str">
        <f t="shared" si="0"/>
        <v>Raj Sharma</v>
      </c>
      <c r="M68" s="1" t="str">
        <f t="shared" si="68"/>
        <v>LATAM</v>
      </c>
      <c r="N68" s="15">
        <f t="shared" ref="N68:O68" si="71">VALUE(SUBSTITUTE(SUBSTITUTE(SUBSTITUTE(I68,"$",""),",",""),".",","))</f>
        <v>49.8</v>
      </c>
      <c r="O68" s="5">
        <f t="shared" si="70"/>
        <v>996</v>
      </c>
    </row>
    <row r="69" spans="1:15" ht="12.5">
      <c r="A69" s="1" t="s">
        <v>371</v>
      </c>
      <c r="B69" s="4">
        <v>45690</v>
      </c>
      <c r="C69" s="1" t="s">
        <v>47</v>
      </c>
      <c r="D69" s="1" t="s">
        <v>13</v>
      </c>
      <c r="E69" s="1" t="s">
        <v>96</v>
      </c>
      <c r="F69" s="1" t="s">
        <v>50</v>
      </c>
      <c r="G69" s="1" t="s">
        <v>17</v>
      </c>
      <c r="H69" s="1">
        <v>1</v>
      </c>
      <c r="I69" s="1" t="s">
        <v>372</v>
      </c>
      <c r="J69" s="1" t="s">
        <v>373</v>
      </c>
      <c r="K69" s="1" t="str">
        <v>Starter Plan</v>
      </c>
      <c r="L69" s="1" t="str">
        <f t="shared" si="0"/>
        <v>Hannah Lee</v>
      </c>
      <c r="M69" s="1" t="str">
        <f t="shared" si="68"/>
        <v>North America</v>
      </c>
      <c r="N69" s="15">
        <f t="shared" ref="N69:O69" si="72">VALUE(SUBSTITUTE(SUBSTITUTE(SUBSTITUTE(I69,"$",""),",",""),".",","))</f>
        <v>53.74</v>
      </c>
      <c r="O69" s="5">
        <f t="shared" si="70"/>
        <v>53.74</v>
      </c>
    </row>
    <row r="70" spans="1:15" ht="12.5">
      <c r="A70" s="1" t="s">
        <v>767</v>
      </c>
      <c r="B70" s="4">
        <v>45746</v>
      </c>
      <c r="C70" s="1" t="s">
        <v>122</v>
      </c>
      <c r="D70" s="1" t="s">
        <v>48</v>
      </c>
      <c r="E70" s="1" t="s">
        <v>96</v>
      </c>
      <c r="F70" s="1" t="s">
        <v>50</v>
      </c>
      <c r="G70" s="1" t="s">
        <v>17</v>
      </c>
      <c r="H70" s="1">
        <v>1</v>
      </c>
      <c r="I70" s="1" t="s">
        <v>768</v>
      </c>
      <c r="J70" s="1" t="s">
        <v>768</v>
      </c>
      <c r="K70" s="1" t="str">
        <v>Business Plan</v>
      </c>
      <c r="L70" s="1" t="str">
        <f t="shared" si="0"/>
        <v>Hannah Lee</v>
      </c>
      <c r="M70" s="1" t="str">
        <f t="shared" si="68"/>
        <v>North America</v>
      </c>
      <c r="N70" s="15">
        <f t="shared" ref="N70:O70" si="73">VALUE(SUBSTITUTE(SUBSTITUTE(SUBSTITUTE(I70,"$",""),",",""),".",","))</f>
        <v>415.38</v>
      </c>
      <c r="O70" s="5">
        <f t="shared" si="70"/>
        <v>415.38</v>
      </c>
    </row>
    <row r="71" spans="1:15" ht="12.5">
      <c r="A71" s="1" t="s">
        <v>736</v>
      </c>
      <c r="B71" s="4">
        <v>45740</v>
      </c>
      <c r="C71" s="1" t="s">
        <v>329</v>
      </c>
      <c r="D71" s="1" t="s">
        <v>24</v>
      </c>
      <c r="E71" s="1" t="s">
        <v>163</v>
      </c>
      <c r="F71" s="1" t="s">
        <v>50</v>
      </c>
      <c r="G71" s="1" t="s">
        <v>71</v>
      </c>
      <c r="H71" s="1">
        <v>20</v>
      </c>
      <c r="I71" s="1" t="s">
        <v>737</v>
      </c>
      <c r="J71" s="1" t="s">
        <v>738</v>
      </c>
      <c r="K71" s="1" t="str">
        <v>Pro Plan</v>
      </c>
      <c r="L71" s="1" t="str">
        <f t="shared" si="0"/>
        <v>Raj Sharma</v>
      </c>
      <c r="M71" s="1" t="str">
        <f t="shared" si="68"/>
        <v>APAC</v>
      </c>
      <c r="N71" s="15">
        <f t="shared" ref="N71:O71" si="74">VALUE(SUBSTITUTE(SUBSTITUTE(SUBSTITUTE(I71,"$",""),",",""),".",","))</f>
        <v>265.14999999999998</v>
      </c>
      <c r="O71" s="5">
        <f t="shared" si="70"/>
        <v>5303</v>
      </c>
    </row>
    <row r="72" spans="1:15" ht="12.5">
      <c r="A72" s="1" t="s">
        <v>84</v>
      </c>
      <c r="B72" s="4">
        <v>45662</v>
      </c>
      <c r="C72" s="1" t="s">
        <v>85</v>
      </c>
      <c r="D72" s="1" t="s">
        <v>48</v>
      </c>
      <c r="E72" s="1" t="s">
        <v>62</v>
      </c>
      <c r="F72" s="1" t="s">
        <v>31</v>
      </c>
      <c r="G72" s="1" t="s">
        <v>86</v>
      </c>
      <c r="H72" s="1">
        <v>1</v>
      </c>
      <c r="I72" s="1" t="s">
        <v>87</v>
      </c>
      <c r="J72" s="1" t="s">
        <v>87</v>
      </c>
      <c r="K72" s="1" t="str">
        <v>Business Plan</v>
      </c>
      <c r="L72" s="1" t="str">
        <f t="shared" si="0"/>
        <v>David Kim</v>
      </c>
      <c r="M72" s="1" t="str">
        <f t="shared" si="68"/>
        <v>APAC</v>
      </c>
      <c r="N72" s="15">
        <f t="shared" ref="N72:O72" si="75">VALUE(SUBSTITUTE(SUBSTITUTE(SUBSTITUTE(I72,"$",""),",",""),".",","))</f>
        <v>386.52</v>
      </c>
      <c r="O72" s="5">
        <f t="shared" si="70"/>
        <v>386.52</v>
      </c>
    </row>
    <row r="73" spans="1:15" ht="12.5">
      <c r="A73" s="1" t="s">
        <v>719</v>
      </c>
      <c r="B73" s="4">
        <v>45737</v>
      </c>
      <c r="C73" s="1" t="s">
        <v>61</v>
      </c>
      <c r="D73" s="1" t="s">
        <v>24</v>
      </c>
      <c r="E73" s="1" t="s">
        <v>178</v>
      </c>
      <c r="F73" s="1" t="s">
        <v>31</v>
      </c>
      <c r="G73" s="1" t="s">
        <v>71</v>
      </c>
      <c r="H73" s="1">
        <v>1</v>
      </c>
      <c r="I73" s="1" t="s">
        <v>720</v>
      </c>
      <c r="J73" s="1" t="s">
        <v>720</v>
      </c>
      <c r="K73" s="1" t="str">
        <v>Pro Plan</v>
      </c>
      <c r="L73" s="1" t="str">
        <f t="shared" si="0"/>
        <v>Aisha Hassan</v>
      </c>
      <c r="M73" s="1" t="str">
        <f t="shared" si="68"/>
        <v>APAC</v>
      </c>
      <c r="N73" s="15">
        <f t="shared" ref="N73:O73" si="76">VALUE(SUBSTITUTE(SUBSTITUTE(SUBSTITUTE(I73,"$",""),",",""),".",","))</f>
        <v>196.02</v>
      </c>
      <c r="O73" s="5">
        <f t="shared" si="70"/>
        <v>196.02</v>
      </c>
    </row>
    <row r="74" spans="1:15" ht="12.5">
      <c r="A74" s="1" t="s">
        <v>377</v>
      </c>
      <c r="B74" s="4">
        <v>45691</v>
      </c>
      <c r="C74" s="1" t="s">
        <v>215</v>
      </c>
      <c r="D74" s="1" t="s">
        <v>24</v>
      </c>
      <c r="E74" s="1" t="s">
        <v>62</v>
      </c>
      <c r="F74" s="1" t="s">
        <v>31</v>
      </c>
      <c r="G74" s="1" t="s">
        <v>39</v>
      </c>
      <c r="H74" s="1">
        <v>2</v>
      </c>
      <c r="I74" s="1" t="s">
        <v>378</v>
      </c>
      <c r="J74" s="1" t="s">
        <v>379</v>
      </c>
      <c r="K74" s="1" t="str">
        <v>Pro Plan</v>
      </c>
      <c r="L74" s="1" t="str">
        <f t="shared" si="0"/>
        <v>David Kim</v>
      </c>
      <c r="M74" s="1" t="str">
        <f t="shared" si="68"/>
        <v>EMEA</v>
      </c>
      <c r="N74" s="15">
        <f t="shared" ref="N74:O74" si="77">VALUE(SUBSTITUTE(SUBSTITUTE(SUBSTITUTE(I74,"$",""),",",""),".",","))</f>
        <v>240.29</v>
      </c>
      <c r="O74" s="5">
        <f t="shared" si="70"/>
        <v>480.58</v>
      </c>
    </row>
    <row r="75" spans="1:15" ht="12.5">
      <c r="A75" s="1" t="s">
        <v>527</v>
      </c>
      <c r="B75" s="4">
        <v>45714</v>
      </c>
      <c r="C75" s="1" t="s">
        <v>135</v>
      </c>
      <c r="D75" s="1" t="s">
        <v>13</v>
      </c>
      <c r="E75" s="1" t="s">
        <v>30</v>
      </c>
      <c r="F75" s="1" t="s">
        <v>31</v>
      </c>
      <c r="G75" s="1" t="s">
        <v>32</v>
      </c>
      <c r="H75" s="1">
        <v>1</v>
      </c>
      <c r="I75" s="1" t="s">
        <v>528</v>
      </c>
      <c r="J75" s="1" t="s">
        <v>528</v>
      </c>
      <c r="K75" s="1" t="str">
        <v>Starter Plan</v>
      </c>
      <c r="L75" s="1" t="str">
        <f t="shared" si="0"/>
        <v>Marcus Johnson</v>
      </c>
      <c r="M75" s="1" t="str">
        <f t="shared" si="68"/>
        <v>LATAM</v>
      </c>
      <c r="N75" s="15">
        <f t="shared" ref="N75:O75" si="78">VALUE(SUBSTITUTE(SUBSTITUTE(SUBSTITUTE(I75,"$",""),",",""),".",","))</f>
        <v>70.58</v>
      </c>
      <c r="O75" s="5">
        <f t="shared" si="70"/>
        <v>70.58</v>
      </c>
    </row>
    <row r="76" spans="1:15" ht="12.5">
      <c r="A76" s="1" t="s">
        <v>189</v>
      </c>
      <c r="B76" s="4">
        <v>45671</v>
      </c>
      <c r="C76" s="1" t="s">
        <v>159</v>
      </c>
      <c r="D76" s="1" t="s">
        <v>24</v>
      </c>
      <c r="E76" s="1" t="s">
        <v>67</v>
      </c>
      <c r="F76" s="1" t="s">
        <v>52</v>
      </c>
      <c r="G76" s="1" t="s">
        <v>71</v>
      </c>
      <c r="H76" s="1">
        <v>5</v>
      </c>
      <c r="I76" s="1" t="s">
        <v>190</v>
      </c>
      <c r="J76" s="1" t="s">
        <v>191</v>
      </c>
      <c r="K76" s="1" t="str">
        <v>Pro Plan</v>
      </c>
      <c r="L76" s="1" t="str">
        <f t="shared" si="0"/>
        <v>Carlos Mendez</v>
      </c>
      <c r="M76" s="1" t="str">
        <f t="shared" si="68"/>
        <v>APAC</v>
      </c>
      <c r="N76" s="15">
        <f t="shared" ref="N76:O76" si="79">VALUE(SUBSTITUTE(SUBSTITUTE(SUBSTITUTE(I76,"$",""),",",""),".",","))</f>
        <v>230.19</v>
      </c>
      <c r="O76" s="5">
        <f t="shared" si="70"/>
        <v>1150.95</v>
      </c>
    </row>
    <row r="77" spans="1:15" ht="12.5">
      <c r="A77" s="1" t="s">
        <v>543</v>
      </c>
      <c r="B77" s="4">
        <v>45716</v>
      </c>
      <c r="C77" s="1" t="s">
        <v>29</v>
      </c>
      <c r="D77" s="1" t="s">
        <v>24</v>
      </c>
      <c r="E77" s="1" t="s">
        <v>49</v>
      </c>
      <c r="F77" s="1" t="s">
        <v>50</v>
      </c>
      <c r="G77" s="1" t="s">
        <v>71</v>
      </c>
      <c r="H77" s="1">
        <v>1</v>
      </c>
      <c r="I77" s="1" t="s">
        <v>544</v>
      </c>
      <c r="J77" s="1" t="s">
        <v>544</v>
      </c>
      <c r="K77" s="1" t="str">
        <v>Pro Plan</v>
      </c>
      <c r="L77" s="1" t="str">
        <f t="shared" si="0"/>
        <v>James Park</v>
      </c>
      <c r="M77" s="1" t="str">
        <f t="shared" si="68"/>
        <v>APAC</v>
      </c>
      <c r="N77" s="15">
        <f t="shared" ref="N77:O77" si="80">VALUE(SUBSTITUTE(SUBSTITUTE(SUBSTITUTE(I77,"$",""),",",""),".",","))</f>
        <v>288.79000000000002</v>
      </c>
      <c r="O77" s="5">
        <f t="shared" si="70"/>
        <v>288.79000000000002</v>
      </c>
    </row>
    <row r="78" spans="1:15" ht="12.5">
      <c r="A78" s="1" t="s">
        <v>662</v>
      </c>
      <c r="B78" s="4">
        <v>45730</v>
      </c>
      <c r="C78" s="1" t="s">
        <v>92</v>
      </c>
      <c r="D78" s="1" t="s">
        <v>24</v>
      </c>
      <c r="E78" s="1" t="s">
        <v>25</v>
      </c>
      <c r="F78" s="1" t="s">
        <v>15</v>
      </c>
      <c r="G78" s="1" t="s">
        <v>32</v>
      </c>
      <c r="H78" s="1">
        <v>1</v>
      </c>
      <c r="I78" s="1" t="s">
        <v>663</v>
      </c>
      <c r="J78" s="1" t="s">
        <v>663</v>
      </c>
      <c r="K78" s="1" t="str">
        <v>Pro Plan</v>
      </c>
      <c r="L78" s="1" t="str">
        <f t="shared" si="0"/>
        <v>Tom Wilson</v>
      </c>
      <c r="M78" s="1" t="str">
        <f t="shared" si="68"/>
        <v>LATAM</v>
      </c>
      <c r="N78" s="15">
        <f t="shared" ref="N78:O78" si="81">VALUE(SUBSTITUTE(SUBSTITUTE(SUBSTITUTE(I78,"$",""),",",""),".",","))</f>
        <v>152.97999999999999</v>
      </c>
      <c r="O78" s="5">
        <f t="shared" si="70"/>
        <v>152.97999999999999</v>
      </c>
    </row>
    <row r="79" spans="1:15" ht="12.5">
      <c r="A79" s="1" t="s">
        <v>679</v>
      </c>
      <c r="B79" s="4">
        <v>45733</v>
      </c>
      <c r="C79" s="1" t="s">
        <v>42</v>
      </c>
      <c r="D79" s="1" t="s">
        <v>117</v>
      </c>
      <c r="E79" s="1" t="s">
        <v>30</v>
      </c>
      <c r="F79" s="1" t="s">
        <v>31</v>
      </c>
      <c r="G79" s="1" t="s">
        <v>39</v>
      </c>
      <c r="H79" s="1">
        <v>2</v>
      </c>
      <c r="I79" s="1" t="s">
        <v>359</v>
      </c>
      <c r="J79" s="1" t="s">
        <v>680</v>
      </c>
      <c r="K79" s="1" t="str">
        <v>Add-on: Analytics</v>
      </c>
      <c r="L79" s="1" t="str">
        <f t="shared" si="0"/>
        <v>Marcus Johnson</v>
      </c>
      <c r="M79" s="1" t="str">
        <f t="shared" si="68"/>
        <v>EMEA</v>
      </c>
      <c r="N79" s="15">
        <f t="shared" ref="N79:O79" si="82">VALUE(SUBSTITUTE(SUBSTITUTE(SUBSTITUTE(I79,"$",""),",",""),".",","))</f>
        <v>99.78</v>
      </c>
      <c r="O79" s="5">
        <f t="shared" si="70"/>
        <v>199.56</v>
      </c>
    </row>
    <row r="80" spans="1:15" ht="12.5">
      <c r="A80" s="1" t="s">
        <v>192</v>
      </c>
      <c r="B80" s="4">
        <v>45671</v>
      </c>
      <c r="C80" s="1" t="s">
        <v>106</v>
      </c>
      <c r="D80" s="1" t="s">
        <v>13</v>
      </c>
      <c r="E80" s="1" t="s">
        <v>14</v>
      </c>
      <c r="F80" s="1" t="s">
        <v>15</v>
      </c>
      <c r="G80" s="1" t="s">
        <v>17</v>
      </c>
      <c r="H80" s="1">
        <v>1</v>
      </c>
      <c r="I80" s="1" t="s">
        <v>194</v>
      </c>
      <c r="J80" s="1" t="s">
        <v>194</v>
      </c>
      <c r="K80" s="1" t="str">
        <v>Starter Plan</v>
      </c>
      <c r="L80" s="1" t="str">
        <f t="shared" si="0"/>
        <v>Nina Petrov</v>
      </c>
      <c r="M80" s="1" t="str">
        <f t="shared" si="68"/>
        <v>North America</v>
      </c>
      <c r="N80" s="15">
        <f t="shared" ref="N80:O80" si="83">VALUE(SUBSTITUTE(SUBSTITUTE(SUBSTITUTE(I80,"$",""),",",""),".",","))</f>
        <v>66.709999999999994</v>
      </c>
      <c r="O80" s="5">
        <f t="shared" si="70"/>
        <v>66.709999999999994</v>
      </c>
    </row>
    <row r="81" spans="1:15" ht="12.5">
      <c r="A81" s="1" t="s">
        <v>769</v>
      </c>
      <c r="B81" s="4">
        <v>45746</v>
      </c>
      <c r="C81" s="1" t="s">
        <v>326</v>
      </c>
      <c r="D81" s="1" t="s">
        <v>58</v>
      </c>
      <c r="E81" s="1" t="s">
        <v>30</v>
      </c>
      <c r="F81" s="1" t="s">
        <v>31</v>
      </c>
      <c r="G81" s="1" t="s">
        <v>32</v>
      </c>
      <c r="H81" s="1">
        <v>1</v>
      </c>
      <c r="I81" s="1" t="s">
        <v>770</v>
      </c>
      <c r="J81" s="1" t="s">
        <v>770</v>
      </c>
      <c r="K81" s="1" t="str">
        <v>Enterprise Plan</v>
      </c>
      <c r="L81" s="1" t="str">
        <f t="shared" si="0"/>
        <v>Marcus Johnson</v>
      </c>
      <c r="M81" s="1" t="str">
        <f t="shared" si="68"/>
        <v>LATAM</v>
      </c>
      <c r="N81" s="15">
        <f t="shared" ref="N81:O81" si="84">VALUE(SUBSTITUTE(SUBSTITUTE(SUBSTITUTE(I81,"$",""),",",""),".",","))</f>
        <v>967.42</v>
      </c>
      <c r="O81" s="5">
        <f t="shared" si="70"/>
        <v>967.42</v>
      </c>
    </row>
    <row r="82" spans="1:15" ht="12.5">
      <c r="A82" s="1" t="s">
        <v>498</v>
      </c>
      <c r="B82" s="4">
        <v>45711</v>
      </c>
      <c r="C82" s="1" t="s">
        <v>61</v>
      </c>
      <c r="D82" s="1" t="s">
        <v>48</v>
      </c>
      <c r="E82" s="1" t="s">
        <v>62</v>
      </c>
      <c r="F82" s="1" t="s">
        <v>31</v>
      </c>
      <c r="G82" s="1" t="s">
        <v>39</v>
      </c>
      <c r="H82" s="1">
        <v>1</v>
      </c>
      <c r="I82" s="1" t="s">
        <v>499</v>
      </c>
      <c r="J82" s="1" t="s">
        <v>499</v>
      </c>
      <c r="K82" s="1" t="str">
        <v>Business Plan</v>
      </c>
      <c r="L82" s="1" t="str">
        <f t="shared" si="0"/>
        <v>David Kim</v>
      </c>
      <c r="M82" s="1" t="str">
        <f t="shared" si="68"/>
        <v>EMEA</v>
      </c>
      <c r="N82" s="15">
        <f t="shared" ref="N82:O82" si="85">VALUE(SUBSTITUTE(SUBSTITUTE(SUBSTITUTE(I82,"$",""),",",""),".",","))</f>
        <v>377.71</v>
      </c>
      <c r="O82" s="5">
        <f t="shared" si="70"/>
        <v>377.71</v>
      </c>
    </row>
    <row r="83" spans="1:15" ht="12.5">
      <c r="A83" s="1" t="s">
        <v>266</v>
      </c>
      <c r="B83" s="4">
        <v>45678</v>
      </c>
      <c r="C83" s="1" t="s">
        <v>23</v>
      </c>
      <c r="D83" s="1" t="s">
        <v>13</v>
      </c>
      <c r="E83" s="1" t="s">
        <v>51</v>
      </c>
      <c r="F83" s="1" t="s">
        <v>52</v>
      </c>
      <c r="G83" s="1" t="s">
        <v>17</v>
      </c>
      <c r="H83" s="1">
        <v>1</v>
      </c>
      <c r="I83" s="1" t="s">
        <v>267</v>
      </c>
      <c r="J83" s="1" t="s">
        <v>267</v>
      </c>
      <c r="K83" s="1" t="str">
        <v>Starter Plan</v>
      </c>
      <c r="L83" s="1" t="str">
        <f t="shared" si="0"/>
        <v>Priya Patel</v>
      </c>
      <c r="M83" s="1" t="str">
        <f t="shared" si="68"/>
        <v>North America</v>
      </c>
      <c r="N83" s="15">
        <f t="shared" ref="N83:O83" si="86">VALUE(SUBSTITUTE(SUBSTITUTE(SUBSTITUTE(I83,"$",""),",",""),".",","))</f>
        <v>73.95</v>
      </c>
      <c r="O83" s="5">
        <f t="shared" si="70"/>
        <v>73.95</v>
      </c>
    </row>
    <row r="84" spans="1:15" ht="12.5">
      <c r="A84" s="1" t="s">
        <v>374</v>
      </c>
      <c r="B84" s="4">
        <v>45690</v>
      </c>
      <c r="C84" s="1" t="s">
        <v>262</v>
      </c>
      <c r="D84" s="1" t="s">
        <v>48</v>
      </c>
      <c r="E84" s="1" t="s">
        <v>96</v>
      </c>
      <c r="F84" s="1" t="s">
        <v>50</v>
      </c>
      <c r="G84" s="1" t="s">
        <v>71</v>
      </c>
      <c r="H84" s="1">
        <v>5</v>
      </c>
      <c r="I84" s="1" t="s">
        <v>375</v>
      </c>
      <c r="J84" s="1" t="s">
        <v>376</v>
      </c>
      <c r="K84" s="1" t="str">
        <v>Business Plan</v>
      </c>
      <c r="L84" s="1" t="str">
        <f t="shared" si="0"/>
        <v>Hannah Lee</v>
      </c>
      <c r="M84" s="1" t="str">
        <f t="shared" si="68"/>
        <v>APAC</v>
      </c>
      <c r="N84" s="15">
        <f t="shared" ref="N84:O84" si="87">VALUE(SUBSTITUTE(SUBSTITUTE(SUBSTITUTE(I84,"$",""),",",""),".",","))</f>
        <v>474.26</v>
      </c>
      <c r="O84" s="5">
        <f t="shared" si="70"/>
        <v>2371.3000000000002</v>
      </c>
    </row>
    <row r="85" spans="1:15" ht="12.5">
      <c r="A85" s="1" t="s">
        <v>608</v>
      </c>
      <c r="B85" s="4">
        <v>45722</v>
      </c>
      <c r="C85" s="1" t="s">
        <v>326</v>
      </c>
      <c r="D85" s="1" t="s">
        <v>13</v>
      </c>
      <c r="E85" s="1" t="s">
        <v>67</v>
      </c>
      <c r="F85" s="1" t="s">
        <v>52</v>
      </c>
      <c r="G85" s="1" t="s">
        <v>32</v>
      </c>
      <c r="H85" s="1">
        <v>2</v>
      </c>
      <c r="I85" s="1" t="s">
        <v>609</v>
      </c>
      <c r="J85" s="1" t="s">
        <v>610</v>
      </c>
      <c r="K85" s="1" t="str">
        <v>Starter Plan</v>
      </c>
      <c r="L85" s="1" t="str">
        <f t="shared" si="0"/>
        <v>Carlos Mendez</v>
      </c>
      <c r="M85" s="1" t="str">
        <f t="shared" si="68"/>
        <v>LATAM</v>
      </c>
      <c r="N85" s="15">
        <f t="shared" ref="N85:O85" si="88">VALUE(SUBSTITUTE(SUBSTITUTE(SUBSTITUTE(I85,"$",""),",",""),".",","))</f>
        <v>48.7</v>
      </c>
      <c r="O85" s="5">
        <f t="shared" si="70"/>
        <v>97.4</v>
      </c>
    </row>
    <row r="86" spans="1:15" ht="12.5">
      <c r="A86" s="1" t="s">
        <v>249</v>
      </c>
      <c r="B86" s="4">
        <v>45677</v>
      </c>
      <c r="C86" s="1" t="s">
        <v>250</v>
      </c>
      <c r="D86" s="1" t="s">
        <v>13</v>
      </c>
      <c r="E86" s="1" t="s">
        <v>62</v>
      </c>
      <c r="F86" s="1" t="s">
        <v>31</v>
      </c>
      <c r="G86" s="1" t="s">
        <v>32</v>
      </c>
      <c r="H86" s="1">
        <v>5</v>
      </c>
      <c r="I86" s="1" t="s">
        <v>251</v>
      </c>
      <c r="J86" s="1" t="s">
        <v>252</v>
      </c>
      <c r="K86" s="1" t="str">
        <v>Starter Plan</v>
      </c>
      <c r="L86" s="1" t="str">
        <f t="shared" si="0"/>
        <v>David Kim</v>
      </c>
      <c r="M86" s="1" t="str">
        <f t="shared" si="68"/>
        <v>LATAM</v>
      </c>
      <c r="N86" s="15">
        <f t="shared" ref="N86:O86" si="89">VALUE(SUBSTITUTE(SUBSTITUTE(SUBSTITUTE(I86,"$",""),",",""),".",","))</f>
        <v>58.38</v>
      </c>
      <c r="O86" s="5">
        <f t="shared" si="70"/>
        <v>291.90000000000003</v>
      </c>
    </row>
    <row r="87" spans="1:15" ht="12.5">
      <c r="A87" s="1" t="s">
        <v>613</v>
      </c>
      <c r="B87" s="4">
        <v>45724</v>
      </c>
      <c r="C87" s="1" t="s">
        <v>146</v>
      </c>
      <c r="D87" s="1" t="s">
        <v>24</v>
      </c>
      <c r="E87" s="1" t="s">
        <v>178</v>
      </c>
      <c r="F87" s="1" t="s">
        <v>31</v>
      </c>
      <c r="G87" s="1" t="s">
        <v>86</v>
      </c>
      <c r="H87" s="1">
        <v>1</v>
      </c>
      <c r="I87" s="1" t="s">
        <v>614</v>
      </c>
      <c r="J87" s="1" t="s">
        <v>614</v>
      </c>
      <c r="K87" s="1" t="str">
        <v>Pro Plan</v>
      </c>
      <c r="L87" s="1" t="str">
        <f t="shared" si="0"/>
        <v>Aisha Hassan</v>
      </c>
      <c r="M87" s="1" t="str">
        <f t="shared" si="68"/>
        <v>APAC</v>
      </c>
      <c r="N87" s="15">
        <f t="shared" ref="N87:O87" si="90">VALUE(SUBSTITUTE(SUBSTITUTE(SUBSTITUTE(I87,"$",""),",",""),".",","))</f>
        <v>203.26</v>
      </c>
      <c r="O87" s="5">
        <f t="shared" si="70"/>
        <v>203.26</v>
      </c>
    </row>
    <row r="88" spans="1:15" ht="12.5">
      <c r="A88" s="1" t="s">
        <v>481</v>
      </c>
      <c r="B88" s="4">
        <v>45709</v>
      </c>
      <c r="C88" s="1" t="s">
        <v>125</v>
      </c>
      <c r="D88" s="1" t="s">
        <v>48</v>
      </c>
      <c r="E88" s="1" t="s">
        <v>30</v>
      </c>
      <c r="F88" s="1" t="s">
        <v>31</v>
      </c>
      <c r="G88" s="1" t="s">
        <v>205</v>
      </c>
      <c r="H88" s="1">
        <v>2</v>
      </c>
      <c r="I88" s="1" t="s">
        <v>482</v>
      </c>
      <c r="J88" s="1" t="s">
        <v>483</v>
      </c>
      <c r="K88" s="1" t="str">
        <v>Business Plan</v>
      </c>
      <c r="L88" s="1" t="str">
        <f t="shared" si="0"/>
        <v>Marcus Johnson</v>
      </c>
      <c r="M88" s="1" t="str">
        <f t="shared" si="68"/>
        <v>EMEA</v>
      </c>
      <c r="N88" s="15">
        <f t="shared" ref="N88:O88" si="91">VALUE(SUBSTITUTE(SUBSTITUTE(SUBSTITUTE(I88,"$",""),",",""),".",","))</f>
        <v>400.66</v>
      </c>
      <c r="O88" s="5">
        <f t="shared" si="70"/>
        <v>801.32</v>
      </c>
    </row>
    <row r="89" spans="1:15" ht="12.5">
      <c r="A89" s="1" t="s">
        <v>11</v>
      </c>
      <c r="B89" s="4">
        <v>45658</v>
      </c>
      <c r="C89" s="1" t="s">
        <v>12</v>
      </c>
      <c r="D89" s="1" t="s">
        <v>13</v>
      </c>
      <c r="E89" s="1" t="s">
        <v>14</v>
      </c>
      <c r="F89" s="1" t="s">
        <v>15</v>
      </c>
      <c r="G89" s="1" t="s">
        <v>17</v>
      </c>
      <c r="H89" s="1">
        <v>2</v>
      </c>
      <c r="I89" s="1" t="s">
        <v>18</v>
      </c>
      <c r="J89" s="1" t="s">
        <v>19</v>
      </c>
      <c r="K89" s="1" t="str">
        <v>Starter Plan</v>
      </c>
      <c r="L89" s="1" t="str">
        <f t="shared" si="0"/>
        <v>Nina Petrov</v>
      </c>
      <c r="M89" s="1" t="str">
        <f t="shared" si="68"/>
        <v>North America</v>
      </c>
      <c r="N89" s="15">
        <f t="shared" ref="N89:O89" si="92">VALUE(SUBSTITUTE(SUBSTITUTE(SUBSTITUTE(I89,"$",""),",",""),".",","))</f>
        <v>44.27</v>
      </c>
      <c r="O89" s="5">
        <f t="shared" si="70"/>
        <v>88.54</v>
      </c>
    </row>
    <row r="90" spans="1:15" ht="12.5">
      <c r="A90" s="1" t="s">
        <v>380</v>
      </c>
      <c r="B90" s="4">
        <v>45691</v>
      </c>
      <c r="C90" s="1" t="s">
        <v>70</v>
      </c>
      <c r="D90" s="1" t="s">
        <v>58</v>
      </c>
      <c r="E90" s="1" t="s">
        <v>178</v>
      </c>
      <c r="F90" s="1" t="s">
        <v>31</v>
      </c>
      <c r="G90" s="1" t="s">
        <v>17</v>
      </c>
      <c r="H90" s="1">
        <v>1</v>
      </c>
      <c r="I90" s="1" t="s">
        <v>381</v>
      </c>
      <c r="J90" s="1" t="s">
        <v>381</v>
      </c>
      <c r="K90" s="1" t="str">
        <v>Enterprise Plan</v>
      </c>
      <c r="L90" s="1" t="str">
        <f t="shared" si="0"/>
        <v>Aisha Hassan</v>
      </c>
      <c r="M90" s="1" t="str">
        <f t="shared" si="68"/>
        <v>North America</v>
      </c>
      <c r="N90" s="15">
        <f t="shared" ref="N90:O90" si="93">VALUE(SUBSTITUTE(SUBSTITUTE(SUBSTITUTE(I90,"$",""),",",""),".",","))</f>
        <v>973.3</v>
      </c>
      <c r="O90" s="5">
        <f t="shared" si="70"/>
        <v>973.3</v>
      </c>
    </row>
    <row r="91" spans="1:15" ht="12.5">
      <c r="A91" s="1" t="s">
        <v>714</v>
      </c>
      <c r="B91" s="4">
        <v>45736</v>
      </c>
      <c r="C91" s="1" t="s">
        <v>329</v>
      </c>
      <c r="D91" s="1" t="s">
        <v>13</v>
      </c>
      <c r="E91" s="1" t="s">
        <v>38</v>
      </c>
      <c r="F91" s="1" t="s">
        <v>15</v>
      </c>
      <c r="G91" s="1" t="s">
        <v>71</v>
      </c>
      <c r="H91" s="1">
        <v>5</v>
      </c>
      <c r="I91" s="1" t="s">
        <v>715</v>
      </c>
      <c r="J91" s="1" t="s">
        <v>716</v>
      </c>
      <c r="K91" s="1" t="str">
        <v>Starter Plan</v>
      </c>
      <c r="L91" s="1" t="str">
        <f t="shared" si="0"/>
        <v>Elena Rossi</v>
      </c>
      <c r="M91" s="1" t="str">
        <f t="shared" si="68"/>
        <v>APAC</v>
      </c>
      <c r="N91" s="15">
        <f t="shared" ref="N91:O91" si="94">VALUE(SUBSTITUTE(SUBSTITUTE(SUBSTITUTE(I91,"$",""),",",""),".",","))</f>
        <v>47.6</v>
      </c>
      <c r="O91" s="5">
        <f t="shared" si="70"/>
        <v>238</v>
      </c>
    </row>
    <row r="92" spans="1:15" ht="12.5">
      <c r="A92" s="1" t="s">
        <v>111</v>
      </c>
      <c r="B92" s="4">
        <v>45663</v>
      </c>
      <c r="C92" s="1" t="s">
        <v>29</v>
      </c>
      <c r="D92" s="1" t="s">
        <v>13</v>
      </c>
      <c r="E92" s="1" t="s">
        <v>30</v>
      </c>
      <c r="F92" s="1" t="s">
        <v>31</v>
      </c>
      <c r="G92" s="1" t="s">
        <v>71</v>
      </c>
      <c r="H92" s="1">
        <v>1</v>
      </c>
      <c r="I92" s="1" t="s">
        <v>112</v>
      </c>
      <c r="J92" s="1" t="s">
        <v>113</v>
      </c>
      <c r="K92" s="1" t="str">
        <v>Starter Plan</v>
      </c>
      <c r="L92" s="1" t="str">
        <f t="shared" si="0"/>
        <v>Marcus Johnson</v>
      </c>
      <c r="M92" s="1" t="str">
        <f t="shared" si="68"/>
        <v>APAC</v>
      </c>
      <c r="N92" s="15">
        <f t="shared" ref="N92:O92" si="95">VALUE(SUBSTITUTE(SUBSTITUTE(SUBSTITUTE(I92,"$",""),",",""),".",","))</f>
        <v>53.39</v>
      </c>
      <c r="O92" s="5">
        <f t="shared" si="70"/>
        <v>53.39</v>
      </c>
    </row>
    <row r="93" spans="1:15" ht="12.5">
      <c r="A93" s="1" t="s">
        <v>114</v>
      </c>
      <c r="B93" s="4">
        <v>45663</v>
      </c>
      <c r="C93" s="1" t="s">
        <v>57</v>
      </c>
      <c r="D93" s="1" t="s">
        <v>24</v>
      </c>
      <c r="E93" s="1" t="s">
        <v>67</v>
      </c>
      <c r="F93" s="1" t="s">
        <v>52</v>
      </c>
      <c r="G93" s="1" t="s">
        <v>71</v>
      </c>
      <c r="H93" s="1">
        <v>1</v>
      </c>
      <c r="I93" s="1" t="s">
        <v>115</v>
      </c>
      <c r="J93" s="1" t="s">
        <v>115</v>
      </c>
      <c r="K93" s="1" t="str">
        <v>Pro Plan</v>
      </c>
      <c r="L93" s="1" t="str">
        <f t="shared" si="0"/>
        <v>Carlos Mendez</v>
      </c>
      <c r="M93" s="1" t="str">
        <f t="shared" si="68"/>
        <v>APAC</v>
      </c>
      <c r="N93" s="15">
        <f t="shared" ref="N93:O93" si="96">VALUE(SUBSTITUTE(SUBSTITUTE(SUBSTITUTE(I93,"$",""),",",""),".",","))</f>
        <v>202.22</v>
      </c>
      <c r="O93" s="5">
        <f t="shared" si="70"/>
        <v>202.22</v>
      </c>
    </row>
    <row r="94" spans="1:15" ht="12.5">
      <c r="A94" s="1" t="s">
        <v>328</v>
      </c>
      <c r="B94" s="4">
        <v>45684</v>
      </c>
      <c r="C94" s="1" t="s">
        <v>329</v>
      </c>
      <c r="D94" s="1" t="s">
        <v>48</v>
      </c>
      <c r="E94" s="1" t="s">
        <v>38</v>
      </c>
      <c r="F94" s="1" t="s">
        <v>15</v>
      </c>
      <c r="G94" s="1" t="s">
        <v>71</v>
      </c>
      <c r="H94" s="1">
        <v>20</v>
      </c>
      <c r="I94" s="1" t="s">
        <v>330</v>
      </c>
      <c r="J94" s="6">
        <v>2864081</v>
      </c>
      <c r="K94" s="1" t="str">
        <v>Business Plan</v>
      </c>
      <c r="L94" s="1" t="str">
        <f t="shared" si="0"/>
        <v>Elena Rossi</v>
      </c>
      <c r="M94" s="1" t="str">
        <f t="shared" si="68"/>
        <v>APAC</v>
      </c>
      <c r="N94" s="15">
        <f t="shared" ref="N94:O94" si="97">VALUE(SUBSTITUTE(SUBSTITUTE(SUBSTITUTE(I94,"$",""),",",""),".",","))</f>
        <v>487.09</v>
      </c>
      <c r="O94" s="5">
        <f t="shared" si="70"/>
        <v>9741.7999999999993</v>
      </c>
    </row>
    <row r="95" spans="1:15" ht="12.5">
      <c r="A95" s="1" t="s">
        <v>615</v>
      </c>
      <c r="B95" s="4">
        <v>45724</v>
      </c>
      <c r="C95" s="1" t="s">
        <v>435</v>
      </c>
      <c r="D95" s="1" t="s">
        <v>48</v>
      </c>
      <c r="E95" s="1" t="s">
        <v>96</v>
      </c>
      <c r="F95" s="1" t="s">
        <v>50</v>
      </c>
      <c r="G95" s="1" t="s">
        <v>32</v>
      </c>
      <c r="H95" s="1">
        <v>5</v>
      </c>
      <c r="I95" s="1" t="s">
        <v>616</v>
      </c>
      <c r="J95" s="22">
        <v>98008</v>
      </c>
      <c r="K95" s="1" t="str">
        <v>Business Plan</v>
      </c>
      <c r="L95" s="1" t="str">
        <f t="shared" si="0"/>
        <v>Hannah Lee</v>
      </c>
      <c r="M95" s="1" t="str">
        <f t="shared" si="68"/>
        <v>LATAM</v>
      </c>
      <c r="N95" s="15">
        <f t="shared" ref="N95:O95" si="98">VALUE(SUBSTITUTE(SUBSTITUTE(SUBSTITUTE(I95,"$",""),",",""),".",","))</f>
        <v>433.61</v>
      </c>
      <c r="O95" s="5">
        <f t="shared" si="70"/>
        <v>2168.0500000000002</v>
      </c>
    </row>
    <row r="96" spans="1:15" ht="12.5">
      <c r="A96" s="1" t="s">
        <v>512</v>
      </c>
      <c r="B96" s="4">
        <v>45713</v>
      </c>
      <c r="C96" s="1" t="s">
        <v>92</v>
      </c>
      <c r="D96" s="1" t="s">
        <v>13</v>
      </c>
      <c r="E96" s="1" t="s">
        <v>163</v>
      </c>
      <c r="F96" s="1" t="s">
        <v>50</v>
      </c>
      <c r="G96" s="1" t="s">
        <v>86</v>
      </c>
      <c r="H96" s="1">
        <v>2</v>
      </c>
      <c r="I96" s="1" t="s">
        <v>513</v>
      </c>
      <c r="J96" s="1" t="s">
        <v>514</v>
      </c>
      <c r="K96" s="1" t="str">
        <v>Starter Plan</v>
      </c>
      <c r="L96" s="1" t="str">
        <f t="shared" si="0"/>
        <v>Raj Sharma</v>
      </c>
      <c r="M96" s="1" t="str">
        <f t="shared" si="68"/>
        <v>APAC</v>
      </c>
      <c r="N96" s="15">
        <f t="shared" ref="N96:O96" si="99">VALUE(SUBSTITUTE(SUBSTITUTE(SUBSTITUTE(I96,"$",""),",",""),".",","))</f>
        <v>46.11</v>
      </c>
      <c r="O96" s="5">
        <f t="shared" si="70"/>
        <v>92.22</v>
      </c>
    </row>
    <row r="97" spans="1:15" ht="12.5">
      <c r="A97" s="1" t="s">
        <v>637</v>
      </c>
      <c r="B97" s="4">
        <v>45728</v>
      </c>
      <c r="C97" s="1" t="s">
        <v>329</v>
      </c>
      <c r="D97" s="1" t="s">
        <v>48</v>
      </c>
      <c r="E97" s="1" t="s">
        <v>30</v>
      </c>
      <c r="F97" s="1" t="s">
        <v>31</v>
      </c>
      <c r="G97" s="1" t="s">
        <v>17</v>
      </c>
      <c r="H97" s="1">
        <v>1</v>
      </c>
      <c r="I97" s="1" t="s">
        <v>638</v>
      </c>
      <c r="J97" s="1" t="s">
        <v>639</v>
      </c>
      <c r="K97" s="1" t="str">
        <v>Business Plan</v>
      </c>
      <c r="L97" s="1" t="str">
        <f t="shared" si="0"/>
        <v>Marcus Johnson</v>
      </c>
      <c r="M97" s="1" t="str">
        <f t="shared" si="68"/>
        <v>North America</v>
      </c>
      <c r="N97" s="15">
        <f t="shared" ref="N97:O97" si="100">VALUE(SUBSTITUTE(SUBSTITUTE(SUBSTITUTE(I97,"$",""),",",""),".",","))</f>
        <v>404.44</v>
      </c>
      <c r="O97" s="5">
        <f t="shared" si="70"/>
        <v>404.44</v>
      </c>
    </row>
    <row r="98" spans="1:15" ht="12.5">
      <c r="A98" s="1" t="s">
        <v>508</v>
      </c>
      <c r="B98" s="4">
        <v>45712</v>
      </c>
      <c r="C98" s="1" t="s">
        <v>326</v>
      </c>
      <c r="D98" s="1" t="s">
        <v>48</v>
      </c>
      <c r="E98" s="1" t="s">
        <v>51</v>
      </c>
      <c r="F98" s="1" t="s">
        <v>52</v>
      </c>
      <c r="G98" s="1" t="s">
        <v>160</v>
      </c>
      <c r="H98" s="1">
        <v>1</v>
      </c>
      <c r="I98" s="1" t="s">
        <v>509</v>
      </c>
      <c r="J98" s="1" t="s">
        <v>509</v>
      </c>
      <c r="K98" s="1" t="str">
        <v>Business Plan</v>
      </c>
      <c r="L98" s="1" t="str">
        <f t="shared" si="0"/>
        <v>Priya Patel</v>
      </c>
      <c r="M98" s="1" t="str">
        <f t="shared" si="68"/>
        <v>North America</v>
      </c>
      <c r="N98" s="15">
        <f t="shared" ref="N98:O98" si="101">VALUE(SUBSTITUTE(SUBSTITUTE(SUBSTITUTE(I98,"$",""),",",""),".",","))</f>
        <v>486.21</v>
      </c>
      <c r="O98" s="5">
        <f t="shared" si="70"/>
        <v>486.21</v>
      </c>
    </row>
    <row r="99" spans="1:15" ht="12.5">
      <c r="A99" s="1" t="s">
        <v>633</v>
      </c>
      <c r="B99" s="4">
        <v>45727</v>
      </c>
      <c r="C99" s="1" t="s">
        <v>12</v>
      </c>
      <c r="D99" s="1" t="s">
        <v>13</v>
      </c>
      <c r="E99" s="1" t="s">
        <v>178</v>
      </c>
      <c r="F99" s="1" t="s">
        <v>31</v>
      </c>
      <c r="G99" s="1" t="s">
        <v>39</v>
      </c>
      <c r="H99" s="1">
        <v>2</v>
      </c>
      <c r="I99" s="1" t="s">
        <v>635</v>
      </c>
      <c r="J99" s="1" t="s">
        <v>636</v>
      </c>
      <c r="K99" s="1" t="str">
        <v>Starter Plan</v>
      </c>
      <c r="L99" s="1" t="str">
        <f t="shared" si="0"/>
        <v>Aisha Hassan</v>
      </c>
      <c r="M99" s="1" t="str">
        <f t="shared" si="68"/>
        <v>EMEA</v>
      </c>
      <c r="N99" s="15">
        <f t="shared" ref="N99:O99" si="102">VALUE(SUBSTITUTE(SUBSTITUTE(SUBSTITUTE(I99,"$",""),",",""),".",","))</f>
        <v>57.15</v>
      </c>
      <c r="O99" s="5">
        <f t="shared" si="70"/>
        <v>114.3</v>
      </c>
    </row>
    <row r="100" spans="1:15" ht="12.5">
      <c r="A100" s="1" t="s">
        <v>441</v>
      </c>
      <c r="B100" s="4">
        <v>45703</v>
      </c>
      <c r="C100" s="1" t="s">
        <v>307</v>
      </c>
      <c r="D100" s="1" t="s">
        <v>24</v>
      </c>
      <c r="E100" s="1" t="s">
        <v>107</v>
      </c>
      <c r="F100" s="1" t="s">
        <v>52</v>
      </c>
      <c r="G100" s="1" t="s">
        <v>32</v>
      </c>
      <c r="H100" s="1">
        <v>1</v>
      </c>
      <c r="I100" s="1" t="s">
        <v>442</v>
      </c>
      <c r="J100" s="1" t="s">
        <v>443</v>
      </c>
      <c r="K100" s="1" t="str">
        <v>Pro Plan</v>
      </c>
      <c r="L100" s="1" t="str">
        <f t="shared" si="0"/>
        <v>Sophie Laurent</v>
      </c>
      <c r="M100" s="1" t="str">
        <f t="shared" si="68"/>
        <v>LATAM</v>
      </c>
      <c r="N100" s="15">
        <f t="shared" ref="N100:O100" si="103">VALUE(SUBSTITUTE(SUBSTITUTE(SUBSTITUTE(I100,"$",""),",",""),".",","))</f>
        <v>287.77</v>
      </c>
      <c r="O100" s="5">
        <f t="shared" si="70"/>
        <v>287.77</v>
      </c>
    </row>
    <row r="101" spans="1:15" ht="12.5">
      <c r="A101" s="1" t="s">
        <v>423</v>
      </c>
      <c r="B101" s="4">
        <v>45698</v>
      </c>
      <c r="C101" s="1" t="s">
        <v>61</v>
      </c>
      <c r="D101" s="1" t="s">
        <v>24</v>
      </c>
      <c r="E101" s="1" t="s">
        <v>30</v>
      </c>
      <c r="F101" s="1" t="s">
        <v>31</v>
      </c>
      <c r="G101" s="1" t="s">
        <v>17</v>
      </c>
      <c r="H101" s="1">
        <v>20</v>
      </c>
      <c r="I101" s="1" t="s">
        <v>424</v>
      </c>
      <c r="J101" s="6">
        <v>804662</v>
      </c>
      <c r="K101" s="1" t="str">
        <v>Pro Plan</v>
      </c>
      <c r="L101" s="1" t="str">
        <f t="shared" si="0"/>
        <v>Marcus Johnson</v>
      </c>
      <c r="M101" s="1" t="str">
        <f t="shared" si="68"/>
        <v>North America</v>
      </c>
      <c r="N101" s="15">
        <f t="shared" ref="N101:O101" si="104">VALUE(SUBSTITUTE(SUBSTITUTE(SUBSTITUTE(I101,"$",""),",",""),".",","))</f>
        <v>205.16</v>
      </c>
      <c r="O101" s="5">
        <f t="shared" si="70"/>
        <v>4103.2</v>
      </c>
    </row>
    <row r="102" spans="1:15" ht="12.5">
      <c r="A102" s="1" t="s">
        <v>387</v>
      </c>
      <c r="B102" s="4">
        <v>45693</v>
      </c>
      <c r="C102" s="1" t="s">
        <v>92</v>
      </c>
      <c r="D102" s="1" t="s">
        <v>24</v>
      </c>
      <c r="E102" s="1" t="s">
        <v>14</v>
      </c>
      <c r="F102" s="1" t="s">
        <v>15</v>
      </c>
      <c r="G102" s="1" t="s">
        <v>39</v>
      </c>
      <c r="H102" s="1">
        <v>5</v>
      </c>
      <c r="I102" s="1" t="s">
        <v>388</v>
      </c>
      <c r="J102" s="1" t="s">
        <v>389</v>
      </c>
      <c r="K102" s="1" t="str">
        <v>Pro Plan</v>
      </c>
      <c r="L102" s="1" t="str">
        <f t="shared" si="0"/>
        <v>Nina Petrov</v>
      </c>
      <c r="M102" s="1" t="str">
        <f t="shared" si="68"/>
        <v>EMEA</v>
      </c>
      <c r="N102" s="15">
        <f t="shared" ref="N102:O102" si="105">VALUE(SUBSTITUTE(SUBSTITUTE(SUBSTITUTE(I102,"$",""),",",""),".",","))</f>
        <v>193.4</v>
      </c>
      <c r="O102" s="5">
        <f t="shared" si="70"/>
        <v>967</v>
      </c>
    </row>
    <row r="103" spans="1:15" ht="12.5">
      <c r="A103" s="1" t="s">
        <v>65</v>
      </c>
      <c r="B103" s="4">
        <v>45661</v>
      </c>
      <c r="C103" s="1" t="s">
        <v>66</v>
      </c>
      <c r="D103" s="1" t="s">
        <v>13</v>
      </c>
      <c r="E103" s="1" t="s">
        <v>67</v>
      </c>
      <c r="F103" s="1" t="s">
        <v>52</v>
      </c>
      <c r="G103" s="1" t="s">
        <v>39</v>
      </c>
      <c r="H103" s="1">
        <v>1</v>
      </c>
      <c r="I103" s="1" t="s">
        <v>68</v>
      </c>
      <c r="J103" s="1" t="s">
        <v>68</v>
      </c>
      <c r="K103" s="1" t="str">
        <v>Starter Plan</v>
      </c>
      <c r="L103" s="1" t="str">
        <f t="shared" si="0"/>
        <v>Carlos Mendez</v>
      </c>
      <c r="M103" s="1" t="str">
        <f t="shared" si="68"/>
        <v>EMEA</v>
      </c>
      <c r="N103" s="15">
        <f t="shared" ref="N103:O103" si="106">VALUE(SUBSTITUTE(SUBSTITUTE(SUBSTITUTE(I103,"$",""),",",""),".",","))</f>
        <v>68.06</v>
      </c>
      <c r="O103" s="5">
        <f t="shared" si="70"/>
        <v>68.06</v>
      </c>
    </row>
    <row r="104" spans="1:15" ht="12.5">
      <c r="A104" s="1" t="s">
        <v>403</v>
      </c>
      <c r="B104" s="4">
        <v>45696</v>
      </c>
      <c r="C104" s="1" t="s">
        <v>169</v>
      </c>
      <c r="D104" s="1" t="s">
        <v>13</v>
      </c>
      <c r="E104" s="1" t="s">
        <v>107</v>
      </c>
      <c r="F104" s="1" t="s">
        <v>52</v>
      </c>
      <c r="G104" s="1" t="s">
        <v>71</v>
      </c>
      <c r="H104" s="1">
        <v>2</v>
      </c>
      <c r="I104" s="1" t="s">
        <v>404</v>
      </c>
      <c r="J104" s="1" t="s">
        <v>405</v>
      </c>
      <c r="K104" s="1" t="str">
        <v>Starter Plan</v>
      </c>
      <c r="L104" s="1" t="str">
        <f t="shared" si="0"/>
        <v>Sophie Laurent</v>
      </c>
      <c r="M104" s="1" t="str">
        <f t="shared" si="68"/>
        <v>APAC</v>
      </c>
      <c r="N104" s="15">
        <f t="shared" ref="N104:O104" si="107">VALUE(SUBSTITUTE(SUBSTITUTE(SUBSTITUTE(I104,"$",""),",",""),".",","))</f>
        <v>45.13</v>
      </c>
      <c r="O104" s="5">
        <f t="shared" si="70"/>
        <v>90.26</v>
      </c>
    </row>
    <row r="105" spans="1:15" ht="12.5">
      <c r="A105" s="1" t="s">
        <v>585</v>
      </c>
      <c r="B105" s="4">
        <v>45719</v>
      </c>
      <c r="C105" s="1" t="s">
        <v>79</v>
      </c>
      <c r="D105" s="1" t="s">
        <v>13</v>
      </c>
      <c r="E105" s="1" t="s">
        <v>67</v>
      </c>
      <c r="F105" s="1" t="s">
        <v>52</v>
      </c>
      <c r="G105" s="1" t="s">
        <v>32</v>
      </c>
      <c r="H105" s="1">
        <v>1</v>
      </c>
      <c r="I105" s="1" t="s">
        <v>586</v>
      </c>
      <c r="J105" s="1" t="s">
        <v>586</v>
      </c>
      <c r="K105" s="1" t="str">
        <v>Starter Plan</v>
      </c>
      <c r="L105" s="1" t="str">
        <f t="shared" si="0"/>
        <v>Carlos Mendez</v>
      </c>
      <c r="M105" s="1" t="str">
        <f t="shared" si="68"/>
        <v>LATAM</v>
      </c>
      <c r="N105" s="15">
        <f t="shared" ref="N105:O105" si="108">VALUE(SUBSTITUTE(SUBSTITUTE(SUBSTITUTE(I105,"$",""),",",""),".",","))</f>
        <v>59.68</v>
      </c>
      <c r="O105" s="5">
        <f t="shared" si="70"/>
        <v>59.68</v>
      </c>
    </row>
    <row r="106" spans="1:15" ht="12.5">
      <c r="A106" s="1" t="s">
        <v>88</v>
      </c>
      <c r="B106" s="4">
        <v>45662</v>
      </c>
      <c r="C106" s="1" t="s">
        <v>70</v>
      </c>
      <c r="D106" s="1" t="s">
        <v>24</v>
      </c>
      <c r="E106" s="1" t="s">
        <v>38</v>
      </c>
      <c r="F106" s="1" t="s">
        <v>15</v>
      </c>
      <c r="G106" s="1" t="s">
        <v>17</v>
      </c>
      <c r="H106" s="1">
        <v>1</v>
      </c>
      <c r="I106" s="1" t="s">
        <v>89</v>
      </c>
      <c r="J106" s="1" t="s">
        <v>90</v>
      </c>
      <c r="K106" s="1" t="str">
        <v>Pro Plan</v>
      </c>
      <c r="L106" s="1" t="str">
        <f t="shared" si="0"/>
        <v>Elena Rossi</v>
      </c>
      <c r="M106" s="1" t="str">
        <f t="shared" si="68"/>
        <v>North America</v>
      </c>
      <c r="N106" s="15">
        <f t="shared" ref="N106:O106" si="109">VALUE(SUBSTITUTE(SUBSTITUTE(SUBSTITUTE(I106,"$",""),",",""),".",","))</f>
        <v>226.12</v>
      </c>
      <c r="O106" s="5">
        <f t="shared" si="70"/>
        <v>226.12</v>
      </c>
    </row>
    <row r="107" spans="1:15" ht="12.5">
      <c r="A107" s="1" t="s">
        <v>221</v>
      </c>
      <c r="B107" s="4">
        <v>45674</v>
      </c>
      <c r="C107" s="1" t="s">
        <v>222</v>
      </c>
      <c r="D107" s="1" t="s">
        <v>58</v>
      </c>
      <c r="E107" s="1" t="s">
        <v>30</v>
      </c>
      <c r="F107" s="1" t="s">
        <v>31</v>
      </c>
      <c r="G107" s="1" t="s">
        <v>32</v>
      </c>
      <c r="H107" s="1">
        <v>20</v>
      </c>
      <c r="I107" s="1" t="s">
        <v>224</v>
      </c>
      <c r="J107" s="1" t="s">
        <v>225</v>
      </c>
      <c r="K107" s="1" t="str">
        <v>Enterprise Plan</v>
      </c>
      <c r="L107" s="1" t="str">
        <f t="shared" si="0"/>
        <v>Marcus Johnson</v>
      </c>
      <c r="M107" s="1" t="str">
        <f t="shared" si="68"/>
        <v>LATAM</v>
      </c>
      <c r="N107" s="15">
        <f t="shared" ref="N107:O107" si="110">VALUE(SUBSTITUTE(SUBSTITUTE(SUBSTITUTE(I107,"$",""),",",""),".",","))</f>
        <v>1180.76</v>
      </c>
      <c r="O107" s="5">
        <f t="shared" si="70"/>
        <v>23615.200000000001</v>
      </c>
    </row>
    <row r="108" spans="1:15" ht="12.5">
      <c r="A108" s="1" t="s">
        <v>331</v>
      </c>
      <c r="B108" s="4">
        <v>45685</v>
      </c>
      <c r="C108" s="1" t="s">
        <v>36</v>
      </c>
      <c r="D108" s="1" t="s">
        <v>58</v>
      </c>
      <c r="E108" s="1" t="s">
        <v>14</v>
      </c>
      <c r="F108" s="1" t="s">
        <v>15</v>
      </c>
      <c r="G108" s="1" t="s">
        <v>71</v>
      </c>
      <c r="H108" s="1">
        <v>50</v>
      </c>
      <c r="I108" s="1" t="s">
        <v>333</v>
      </c>
      <c r="J108" s="1" t="s">
        <v>334</v>
      </c>
      <c r="K108" s="1" t="str">
        <v>Enterprise Plan</v>
      </c>
      <c r="L108" s="1" t="str">
        <f t="shared" si="0"/>
        <v>Nina Petrov</v>
      </c>
      <c r="M108" s="1" t="str">
        <f t="shared" si="68"/>
        <v>APAC</v>
      </c>
      <c r="N108" s="15">
        <f t="shared" ref="N108:O108" si="111">VALUE(SUBSTITUTE(SUBSTITUTE(SUBSTITUTE(I108,"$",""),",",""),".",","))</f>
        <v>932.32</v>
      </c>
      <c r="O108" s="5">
        <f t="shared" si="70"/>
        <v>46616</v>
      </c>
    </row>
    <row r="109" spans="1:15" ht="12.5">
      <c r="A109" s="1" t="s">
        <v>21</v>
      </c>
      <c r="B109" s="4">
        <v>45658</v>
      </c>
      <c r="C109" s="1" t="s">
        <v>23</v>
      </c>
      <c r="D109" s="1" t="s">
        <v>24</v>
      </c>
      <c r="E109" s="1" t="s">
        <v>25</v>
      </c>
      <c r="F109" s="1" t="s">
        <v>15</v>
      </c>
      <c r="G109" s="1" t="s">
        <v>17</v>
      </c>
      <c r="H109" s="1">
        <v>10</v>
      </c>
      <c r="I109" s="1" t="s">
        <v>27</v>
      </c>
      <c r="J109" s="6">
        <v>125889</v>
      </c>
      <c r="K109" s="1" t="str">
        <v>Pro Plan</v>
      </c>
      <c r="L109" s="1" t="str">
        <f t="shared" si="0"/>
        <v>Tom Wilson</v>
      </c>
      <c r="M109" s="1" t="str">
        <f t="shared" si="68"/>
        <v>North America</v>
      </c>
      <c r="N109" s="15">
        <f t="shared" ref="N109:O109" si="112">VALUE(SUBSTITUTE(SUBSTITUTE(SUBSTITUTE(I109,"$",""),",",""),".",","))</f>
        <v>224.49</v>
      </c>
      <c r="O109" s="5">
        <f t="shared" si="70"/>
        <v>2244.9</v>
      </c>
    </row>
    <row r="110" spans="1:15" ht="12.5">
      <c r="A110" s="1" t="s">
        <v>226</v>
      </c>
      <c r="B110" s="4">
        <v>45674</v>
      </c>
      <c r="C110" s="1" t="s">
        <v>125</v>
      </c>
      <c r="D110" s="1" t="s">
        <v>24</v>
      </c>
      <c r="E110" s="1" t="s">
        <v>178</v>
      </c>
      <c r="F110" s="1" t="s">
        <v>31</v>
      </c>
      <c r="G110" s="1" t="s">
        <v>17</v>
      </c>
      <c r="H110" s="1">
        <v>50</v>
      </c>
      <c r="I110" s="1" t="s">
        <v>227</v>
      </c>
      <c r="J110" s="1" t="s">
        <v>228</v>
      </c>
      <c r="K110" s="1" t="str">
        <v>Pro Plan</v>
      </c>
      <c r="L110" s="1" t="str">
        <f t="shared" si="0"/>
        <v>Aisha Hassan</v>
      </c>
      <c r="M110" s="1" t="str">
        <f t="shared" si="68"/>
        <v>North America</v>
      </c>
      <c r="N110" s="15">
        <f t="shared" ref="N110:O110" si="113">VALUE(SUBSTITUTE(SUBSTITUTE(SUBSTITUTE(I110,"$",""),",",""),".",","))</f>
        <v>214.71</v>
      </c>
      <c r="O110" s="5">
        <f t="shared" si="70"/>
        <v>10735.5</v>
      </c>
    </row>
    <row r="111" spans="1:15" ht="12.5">
      <c r="A111" s="1" t="s">
        <v>91</v>
      </c>
      <c r="B111" s="4">
        <v>45662</v>
      </c>
      <c r="C111" s="1" t="s">
        <v>92</v>
      </c>
      <c r="D111" s="1" t="s">
        <v>13</v>
      </c>
      <c r="E111" s="1" t="s">
        <v>49</v>
      </c>
      <c r="F111" s="1" t="s">
        <v>50</v>
      </c>
      <c r="G111" s="1" t="s">
        <v>82</v>
      </c>
      <c r="H111" s="1">
        <v>1</v>
      </c>
      <c r="I111" s="1" t="s">
        <v>93</v>
      </c>
      <c r="J111" s="1" t="s">
        <v>93</v>
      </c>
      <c r="K111" s="1" t="str">
        <v>Starter Plan</v>
      </c>
      <c r="L111" s="1" t="str">
        <f t="shared" si="0"/>
        <v>James Park</v>
      </c>
      <c r="M111" s="1" t="str">
        <f t="shared" si="68"/>
        <v>LATAM</v>
      </c>
      <c r="N111" s="15">
        <f t="shared" ref="N111:O111" si="114">VALUE(SUBSTITUTE(SUBSTITUTE(SUBSTITUTE(I111,"$",""),",",""),".",","))</f>
        <v>73.28</v>
      </c>
      <c r="O111" s="5">
        <f t="shared" si="70"/>
        <v>73.28</v>
      </c>
    </row>
    <row r="112" spans="1:15" ht="12.5">
      <c r="A112" s="1" t="s">
        <v>596</v>
      </c>
      <c r="B112" s="4">
        <v>45721</v>
      </c>
      <c r="C112" s="1" t="s">
        <v>159</v>
      </c>
      <c r="D112" s="1" t="s">
        <v>48</v>
      </c>
      <c r="E112" s="1" t="s">
        <v>62</v>
      </c>
      <c r="F112" s="1" t="s">
        <v>31</v>
      </c>
      <c r="G112" s="1" t="s">
        <v>160</v>
      </c>
      <c r="H112" s="1">
        <v>2</v>
      </c>
      <c r="I112" s="1" t="s">
        <v>597</v>
      </c>
      <c r="J112" s="1" t="s">
        <v>598</v>
      </c>
      <c r="K112" s="1" t="str">
        <v>Business Plan</v>
      </c>
      <c r="L112" s="1" t="str">
        <f t="shared" si="0"/>
        <v>David Kim</v>
      </c>
      <c r="M112" s="1" t="str">
        <f t="shared" si="68"/>
        <v>North America</v>
      </c>
      <c r="N112" s="15">
        <f t="shared" ref="N112:O112" si="115">VALUE(SUBSTITUTE(SUBSTITUTE(SUBSTITUTE(I112,"$",""),",",""),".",","))</f>
        <v>477.27</v>
      </c>
      <c r="O112" s="5">
        <f t="shared" si="70"/>
        <v>954.54</v>
      </c>
    </row>
    <row r="113" spans="1:15" ht="12.5">
      <c r="A113" s="1" t="s">
        <v>94</v>
      </c>
      <c r="B113" s="4">
        <v>45662</v>
      </c>
      <c r="C113" s="1" t="s">
        <v>79</v>
      </c>
      <c r="D113" s="1" t="s">
        <v>13</v>
      </c>
      <c r="E113" s="1" t="s">
        <v>96</v>
      </c>
      <c r="F113" s="1" t="s">
        <v>50</v>
      </c>
      <c r="G113" s="1" t="s">
        <v>39</v>
      </c>
      <c r="H113" s="1">
        <v>5</v>
      </c>
      <c r="I113" s="1" t="s">
        <v>97</v>
      </c>
      <c r="J113" s="1" t="s">
        <v>98</v>
      </c>
      <c r="K113" s="1" t="str">
        <v>Starter Plan</v>
      </c>
      <c r="L113" s="1" t="str">
        <f t="shared" si="0"/>
        <v>Hannah Lee</v>
      </c>
      <c r="M113" s="1" t="str">
        <f t="shared" si="68"/>
        <v>EMEA</v>
      </c>
      <c r="N113" s="15">
        <f t="shared" ref="N113:O113" si="116">VALUE(SUBSTITUTE(SUBSTITUTE(SUBSTITUTE(I113,"$",""),",",""),".",","))</f>
        <v>45.99</v>
      </c>
      <c r="O113" s="5">
        <f t="shared" si="70"/>
        <v>229.95000000000002</v>
      </c>
    </row>
    <row r="114" spans="1:15" ht="12.5">
      <c r="A114" s="1" t="s">
        <v>500</v>
      </c>
      <c r="B114" s="4">
        <v>45711</v>
      </c>
      <c r="C114" s="1" t="s">
        <v>290</v>
      </c>
      <c r="D114" s="1" t="s">
        <v>24</v>
      </c>
      <c r="E114" s="1" t="s">
        <v>96</v>
      </c>
      <c r="F114" s="1" t="s">
        <v>50</v>
      </c>
      <c r="G114" s="1" t="s">
        <v>71</v>
      </c>
      <c r="H114" s="1">
        <v>2</v>
      </c>
      <c r="I114" s="1" t="s">
        <v>501</v>
      </c>
      <c r="J114" s="1" t="s">
        <v>502</v>
      </c>
      <c r="K114" s="1" t="str">
        <v>Pro Plan</v>
      </c>
      <c r="L114" s="1" t="str">
        <f t="shared" si="0"/>
        <v>Hannah Lee</v>
      </c>
      <c r="M114" s="1" t="str">
        <f t="shared" si="68"/>
        <v>APAC</v>
      </c>
      <c r="N114" s="15">
        <f t="shared" ref="N114:O114" si="117">VALUE(SUBSTITUTE(SUBSTITUTE(SUBSTITUTE(I114,"$",""),",",""),".",","))</f>
        <v>180.13</v>
      </c>
      <c r="O114" s="5">
        <f t="shared" si="70"/>
        <v>360.26</v>
      </c>
    </row>
    <row r="115" spans="1:15" ht="12.5">
      <c r="A115" s="1" t="s">
        <v>491</v>
      </c>
      <c r="B115" s="4">
        <v>45710</v>
      </c>
      <c r="C115" s="1" t="s">
        <v>250</v>
      </c>
      <c r="D115" s="1" t="s">
        <v>492</v>
      </c>
      <c r="E115" s="1" t="s">
        <v>38</v>
      </c>
      <c r="F115" s="1" t="s">
        <v>15</v>
      </c>
      <c r="G115" s="1" t="s">
        <v>71</v>
      </c>
      <c r="H115" s="1">
        <v>2</v>
      </c>
      <c r="I115" s="1" t="s">
        <v>493</v>
      </c>
      <c r="J115" s="1" t="s">
        <v>494</v>
      </c>
      <c r="K115" s="1" t="str">
        <v>Add-on: Support</v>
      </c>
      <c r="L115" s="1" t="str">
        <f t="shared" si="0"/>
        <v>Elena Rossi</v>
      </c>
      <c r="M115" s="1" t="str">
        <f t="shared" si="68"/>
        <v>APAC</v>
      </c>
      <c r="N115" s="15">
        <f t="shared" ref="N115:O115" si="118">VALUE(SUBSTITUTE(SUBSTITUTE(SUBSTITUTE(I115,"$",""),",",""),".",","))</f>
        <v>43.17</v>
      </c>
      <c r="O115" s="5">
        <f t="shared" si="70"/>
        <v>86.34</v>
      </c>
    </row>
    <row r="116" spans="1:15" ht="12.5">
      <c r="A116" s="1" t="s">
        <v>69</v>
      </c>
      <c r="B116" s="4">
        <v>45661</v>
      </c>
      <c r="C116" s="1" t="s">
        <v>70</v>
      </c>
      <c r="D116" s="1" t="s">
        <v>37</v>
      </c>
      <c r="E116" s="1" t="s">
        <v>25</v>
      </c>
      <c r="F116" s="1" t="s">
        <v>15</v>
      </c>
      <c r="G116" s="1" t="s">
        <v>71</v>
      </c>
      <c r="H116" s="1">
        <v>2</v>
      </c>
      <c r="I116" s="1" t="s">
        <v>72</v>
      </c>
      <c r="J116" s="1" t="s">
        <v>73</v>
      </c>
      <c r="K116" s="1" t="str">
        <v>Add-on: Support</v>
      </c>
      <c r="L116" s="1" t="str">
        <f t="shared" si="0"/>
        <v>Tom Wilson</v>
      </c>
      <c r="M116" s="1" t="str">
        <f t="shared" si="68"/>
        <v>APAC</v>
      </c>
      <c r="N116" s="15">
        <f t="shared" ref="N116:O116" si="119">VALUE(SUBSTITUTE(SUBSTITUTE(SUBSTITUTE(I116,"$",""),",",""),".",","))</f>
        <v>118.97</v>
      </c>
      <c r="O116" s="5">
        <f t="shared" si="70"/>
        <v>237.94</v>
      </c>
    </row>
    <row r="117" spans="1:15" ht="12.5">
      <c r="A117" s="1" t="s">
        <v>406</v>
      </c>
      <c r="B117" s="4">
        <v>45696</v>
      </c>
      <c r="C117" s="1" t="s">
        <v>135</v>
      </c>
      <c r="D117" s="1" t="s">
        <v>13</v>
      </c>
      <c r="E117" s="1" t="s">
        <v>38</v>
      </c>
      <c r="F117" s="1" t="s">
        <v>15</v>
      </c>
      <c r="G117" s="1" t="s">
        <v>71</v>
      </c>
      <c r="H117" s="1">
        <v>1</v>
      </c>
      <c r="I117" s="1" t="s">
        <v>407</v>
      </c>
      <c r="J117" s="1" t="s">
        <v>407</v>
      </c>
      <c r="K117" s="1" t="str">
        <v>Starter Plan</v>
      </c>
      <c r="L117" s="1" t="str">
        <f t="shared" si="0"/>
        <v>Elena Rossi</v>
      </c>
      <c r="M117" s="1" t="str">
        <f t="shared" si="68"/>
        <v>APAC</v>
      </c>
      <c r="N117" s="15">
        <f t="shared" ref="N117:O117" si="120">VALUE(SUBSTITUTE(SUBSTITUTE(SUBSTITUTE(I117,"$",""),",",""),".",","))</f>
        <v>74.459999999999994</v>
      </c>
      <c r="O117" s="5">
        <f t="shared" si="70"/>
        <v>74.459999999999994</v>
      </c>
    </row>
    <row r="118" spans="1:15" ht="12.5">
      <c r="A118" s="1" t="s">
        <v>275</v>
      </c>
      <c r="B118" s="4">
        <v>45679</v>
      </c>
      <c r="C118" s="1" t="s">
        <v>175</v>
      </c>
      <c r="D118" s="1" t="s">
        <v>24</v>
      </c>
      <c r="E118" s="1" t="s">
        <v>62</v>
      </c>
      <c r="F118" s="1" t="s">
        <v>31</v>
      </c>
      <c r="G118" s="1" t="s">
        <v>71</v>
      </c>
      <c r="H118" s="1">
        <v>1</v>
      </c>
      <c r="I118" s="1" t="s">
        <v>276</v>
      </c>
      <c r="J118" s="1" t="s">
        <v>276</v>
      </c>
      <c r="K118" s="1" t="str">
        <v>Pro Plan</v>
      </c>
      <c r="L118" s="1" t="str">
        <f t="shared" si="0"/>
        <v>David Kim</v>
      </c>
      <c r="M118" s="1" t="str">
        <f t="shared" si="68"/>
        <v>APAC</v>
      </c>
      <c r="N118" s="15">
        <f t="shared" ref="N118:O118" si="121">VALUE(SUBSTITUTE(SUBSTITUTE(SUBSTITUTE(I118,"$",""),",",""),".",","))</f>
        <v>189.77</v>
      </c>
      <c r="O118" s="5">
        <f t="shared" si="70"/>
        <v>189.77</v>
      </c>
    </row>
    <row r="119" spans="1:15" ht="12.5">
      <c r="A119" s="1" t="s">
        <v>726</v>
      </c>
      <c r="B119" s="4">
        <v>45738</v>
      </c>
      <c r="C119" s="1" t="s">
        <v>445</v>
      </c>
      <c r="D119" s="1" t="s">
        <v>48</v>
      </c>
      <c r="E119" s="1" t="s">
        <v>30</v>
      </c>
      <c r="F119" s="1" t="s">
        <v>31</v>
      </c>
      <c r="G119" s="1" t="s">
        <v>39</v>
      </c>
      <c r="H119" s="1">
        <v>1</v>
      </c>
      <c r="I119" s="1" t="s">
        <v>727</v>
      </c>
      <c r="J119" s="1" t="s">
        <v>727</v>
      </c>
      <c r="K119" s="1" t="str">
        <v>Business Plan</v>
      </c>
      <c r="L119" s="1" t="str">
        <f t="shared" si="0"/>
        <v>Marcus Johnson</v>
      </c>
      <c r="M119" s="1" t="str">
        <f t="shared" si="68"/>
        <v>EMEA</v>
      </c>
      <c r="N119" s="15">
        <f t="shared" ref="N119:O119" si="122">VALUE(SUBSTITUTE(SUBSTITUTE(SUBSTITUTE(I119,"$",""),",",""),".",","))</f>
        <v>475.9</v>
      </c>
      <c r="O119" s="5">
        <f t="shared" si="70"/>
        <v>475.9</v>
      </c>
    </row>
    <row r="120" spans="1:15" ht="12.5">
      <c r="A120" s="1" t="s">
        <v>484</v>
      </c>
      <c r="B120" s="4">
        <v>45709</v>
      </c>
      <c r="C120" s="1" t="s">
        <v>125</v>
      </c>
      <c r="D120" s="1" t="s">
        <v>24</v>
      </c>
      <c r="E120" s="1" t="s">
        <v>62</v>
      </c>
      <c r="F120" s="1" t="s">
        <v>31</v>
      </c>
      <c r="G120" s="1" t="s">
        <v>39</v>
      </c>
      <c r="H120" s="1">
        <v>5</v>
      </c>
      <c r="I120" s="1" t="s">
        <v>485</v>
      </c>
      <c r="J120" s="1" t="s">
        <v>486</v>
      </c>
      <c r="K120" s="1" t="str">
        <v>Pro Plan</v>
      </c>
      <c r="L120" s="1" t="str">
        <f t="shared" si="0"/>
        <v>David Kim</v>
      </c>
      <c r="M120" s="1" t="str">
        <f t="shared" si="68"/>
        <v>EMEA</v>
      </c>
      <c r="N120" s="15">
        <f t="shared" ref="N120:O120" si="123">VALUE(SUBSTITUTE(SUBSTITUTE(SUBSTITUTE(I120,"$",""),",",""),".",","))</f>
        <v>157.24</v>
      </c>
      <c r="O120" s="5">
        <f t="shared" si="70"/>
        <v>786.2</v>
      </c>
    </row>
    <row r="121" spans="1:15" ht="12.5">
      <c r="A121" s="1" t="s">
        <v>771</v>
      </c>
      <c r="B121" s="4">
        <v>45746</v>
      </c>
      <c r="C121" s="1" t="s">
        <v>445</v>
      </c>
      <c r="D121" s="1" t="s">
        <v>58</v>
      </c>
      <c r="E121" s="1" t="s">
        <v>107</v>
      </c>
      <c r="F121" s="1" t="s">
        <v>52</v>
      </c>
      <c r="G121" s="1" t="s">
        <v>39</v>
      </c>
      <c r="H121" s="1">
        <v>1</v>
      </c>
      <c r="I121" s="1" t="s">
        <v>772</v>
      </c>
      <c r="J121" s="1" t="s">
        <v>772</v>
      </c>
      <c r="K121" s="1" t="str">
        <v>Enterprise Plan</v>
      </c>
      <c r="L121" s="1" t="str">
        <f t="shared" si="0"/>
        <v>Sophie Laurent</v>
      </c>
      <c r="M121" s="1" t="str">
        <f t="shared" si="68"/>
        <v>EMEA</v>
      </c>
      <c r="N121" s="15">
        <f t="shared" ref="N121:O121" si="124">VALUE(SUBSTITUTE(SUBSTITUTE(SUBSTITUTE(I121,"$",""),",",""),".",","))</f>
        <v>958.86</v>
      </c>
      <c r="O121" s="5">
        <f t="shared" si="70"/>
        <v>958.86</v>
      </c>
    </row>
    <row r="122" spans="1:15" ht="12.5">
      <c r="A122" s="1" t="s">
        <v>130</v>
      </c>
      <c r="B122" s="4">
        <v>45666</v>
      </c>
      <c r="C122" s="1" t="s">
        <v>36</v>
      </c>
      <c r="D122" s="1" t="s">
        <v>58</v>
      </c>
      <c r="E122" s="1" t="s">
        <v>51</v>
      </c>
      <c r="F122" s="1" t="s">
        <v>52</v>
      </c>
      <c r="G122" s="1" t="s">
        <v>86</v>
      </c>
      <c r="H122" s="1">
        <v>1</v>
      </c>
      <c r="I122" s="1" t="s">
        <v>132</v>
      </c>
      <c r="J122" s="1" t="s">
        <v>133</v>
      </c>
      <c r="K122" s="1" t="str">
        <v>Enterprise Plan</v>
      </c>
      <c r="L122" s="1" t="str">
        <f t="shared" si="0"/>
        <v>Priya Patel</v>
      </c>
      <c r="M122" s="1" t="str">
        <f t="shared" si="68"/>
        <v>APAC</v>
      </c>
      <c r="N122" s="15">
        <f t="shared" ref="N122:O122" si="125">VALUE(SUBSTITUTE(SUBSTITUTE(SUBSTITUTE(I122,"$",""),",",""),".",","))</f>
        <v>1388.69</v>
      </c>
      <c r="O122" s="5">
        <f t="shared" si="70"/>
        <v>1388.69</v>
      </c>
    </row>
    <row r="123" spans="1:15" ht="12.5">
      <c r="A123" s="1" t="s">
        <v>362</v>
      </c>
      <c r="B123" s="4">
        <v>45689</v>
      </c>
      <c r="C123" s="1" t="s">
        <v>159</v>
      </c>
      <c r="D123" s="1" t="s">
        <v>37</v>
      </c>
      <c r="E123" s="1" t="s">
        <v>30</v>
      </c>
      <c r="F123" s="1" t="s">
        <v>31</v>
      </c>
      <c r="G123" s="1" t="s">
        <v>205</v>
      </c>
      <c r="H123" s="1">
        <v>10</v>
      </c>
      <c r="I123" s="1" t="s">
        <v>363</v>
      </c>
      <c r="J123" s="6" t="s">
        <v>364</v>
      </c>
      <c r="K123" s="1" t="str">
        <v>Add-on: Support</v>
      </c>
      <c r="L123" s="1" t="str">
        <f t="shared" si="0"/>
        <v>Marcus Johnson</v>
      </c>
      <c r="M123" s="1" t="str">
        <f t="shared" si="68"/>
        <v>EMEA</v>
      </c>
      <c r="N123" s="15">
        <f t="shared" ref="N123:O123" si="126">VALUE(SUBSTITUTE(SUBSTITUTE(SUBSTITUTE(I123,"$",""),",",""),".",","))</f>
        <v>107.07</v>
      </c>
      <c r="O123" s="5">
        <f t="shared" si="70"/>
        <v>1070.6999999999998</v>
      </c>
    </row>
    <row r="124" spans="1:15" ht="12.5">
      <c r="A124" s="1" t="s">
        <v>128</v>
      </c>
      <c r="B124" s="4">
        <v>45665</v>
      </c>
      <c r="C124" s="1" t="s">
        <v>46</v>
      </c>
      <c r="D124" s="1" t="s">
        <v>37</v>
      </c>
      <c r="E124" s="1" t="s">
        <v>25</v>
      </c>
      <c r="F124" s="1" t="s">
        <v>15</v>
      </c>
      <c r="G124" s="1" t="s">
        <v>82</v>
      </c>
      <c r="H124" s="1">
        <v>1</v>
      </c>
      <c r="I124" s="1" t="s">
        <v>129</v>
      </c>
      <c r="J124" s="1" t="s">
        <v>129</v>
      </c>
      <c r="K124" s="1" t="str">
        <v>Add-on: Support</v>
      </c>
      <c r="L124" s="1" t="str">
        <f t="shared" si="0"/>
        <v>Tom Wilson</v>
      </c>
      <c r="M124" s="1" t="str">
        <f t="shared" si="68"/>
        <v>LATAM</v>
      </c>
      <c r="N124" s="15">
        <f t="shared" ref="N124:O124" si="127">VALUE(SUBSTITUTE(SUBSTITUTE(SUBSTITUTE(I124,"$",""),",",""),".",","))</f>
        <v>92.92</v>
      </c>
      <c r="O124" s="5">
        <f t="shared" si="70"/>
        <v>92.92</v>
      </c>
    </row>
    <row r="125" spans="1:15" ht="12.5">
      <c r="A125" s="1" t="s">
        <v>289</v>
      </c>
      <c r="B125" s="4">
        <v>45681</v>
      </c>
      <c r="C125" s="1" t="s">
        <v>250</v>
      </c>
      <c r="D125" s="1" t="s">
        <v>48</v>
      </c>
      <c r="E125" s="1" t="s">
        <v>30</v>
      </c>
      <c r="F125" s="1" t="s">
        <v>31</v>
      </c>
      <c r="G125" s="1" t="s">
        <v>32</v>
      </c>
      <c r="H125" s="1">
        <v>2</v>
      </c>
      <c r="I125" s="1" t="s">
        <v>291</v>
      </c>
      <c r="J125" s="1" t="s">
        <v>292</v>
      </c>
      <c r="K125" s="1" t="str">
        <v>Business Plan</v>
      </c>
      <c r="L125" s="1" t="str">
        <f t="shared" si="0"/>
        <v>Marcus Johnson</v>
      </c>
      <c r="M125" s="1" t="str">
        <f t="shared" si="68"/>
        <v>LATAM</v>
      </c>
      <c r="N125" s="15">
        <f t="shared" ref="N125:O125" si="128">VALUE(SUBSTITUTE(SUBSTITUTE(SUBSTITUTE(I125,"$",""),",",""),".",","))</f>
        <v>425.85</v>
      </c>
      <c r="O125" s="5">
        <f t="shared" si="70"/>
        <v>851.7</v>
      </c>
    </row>
    <row r="126" spans="1:15" ht="12.5">
      <c r="A126" s="1" t="s">
        <v>277</v>
      </c>
      <c r="B126" s="4">
        <v>45679</v>
      </c>
      <c r="C126" s="1" t="s">
        <v>122</v>
      </c>
      <c r="D126" s="1" t="s">
        <v>24</v>
      </c>
      <c r="E126" s="1" t="s">
        <v>38</v>
      </c>
      <c r="F126" s="1" t="s">
        <v>15</v>
      </c>
      <c r="G126" s="1" t="s">
        <v>32</v>
      </c>
      <c r="H126" s="1">
        <v>1</v>
      </c>
      <c r="I126" s="1" t="s">
        <v>278</v>
      </c>
      <c r="J126" s="1" t="s">
        <v>278</v>
      </c>
      <c r="K126" s="1" t="str">
        <v>Pro Plan</v>
      </c>
      <c r="L126" s="1" t="str">
        <f t="shared" si="0"/>
        <v>Elena Rossi</v>
      </c>
      <c r="M126" s="1" t="str">
        <f t="shared" si="68"/>
        <v>LATAM</v>
      </c>
      <c r="N126" s="15">
        <f t="shared" ref="N126:O126" si="129">VALUE(SUBSTITUTE(SUBSTITUTE(SUBSTITUTE(I126,"$",""),",",""),".",","))</f>
        <v>260.51</v>
      </c>
      <c r="O126" s="5">
        <f t="shared" si="70"/>
        <v>260.51</v>
      </c>
    </row>
    <row r="127" spans="1:15" ht="12.5">
      <c r="A127" s="1" t="s">
        <v>587</v>
      </c>
      <c r="B127" s="4">
        <v>45719</v>
      </c>
      <c r="C127" s="1" t="s">
        <v>290</v>
      </c>
      <c r="D127" s="1" t="s">
        <v>24</v>
      </c>
      <c r="E127" s="1" t="s">
        <v>14</v>
      </c>
      <c r="F127" s="1" t="s">
        <v>15</v>
      </c>
      <c r="G127" s="1" t="s">
        <v>39</v>
      </c>
      <c r="H127" s="1">
        <v>5</v>
      </c>
      <c r="I127" s="1" t="s">
        <v>588</v>
      </c>
      <c r="J127" s="1" t="s">
        <v>589</v>
      </c>
      <c r="K127" s="1" t="str">
        <v>Pro Plan</v>
      </c>
      <c r="L127" s="1" t="str">
        <f t="shared" si="0"/>
        <v>Nina Petrov</v>
      </c>
      <c r="M127" s="1" t="str">
        <f t="shared" si="68"/>
        <v>EMEA</v>
      </c>
      <c r="N127" s="15">
        <f t="shared" ref="N127:O127" si="130">VALUE(SUBSTITUTE(SUBSTITUTE(SUBSTITUTE(I127,"$",""),",",""),".",","))</f>
        <v>170.37</v>
      </c>
      <c r="O127" s="5">
        <f t="shared" si="70"/>
        <v>851.85</v>
      </c>
    </row>
    <row r="128" spans="1:15" ht="12.5">
      <c r="A128" s="1" t="s">
        <v>625</v>
      </c>
      <c r="B128" s="4">
        <v>45726</v>
      </c>
      <c r="C128" s="1" t="s">
        <v>23</v>
      </c>
      <c r="D128" s="1" t="s">
        <v>13</v>
      </c>
      <c r="E128" s="1" t="s">
        <v>67</v>
      </c>
      <c r="F128" s="1" t="s">
        <v>52</v>
      </c>
      <c r="G128" s="1" t="s">
        <v>32</v>
      </c>
      <c r="H128" s="1">
        <v>2</v>
      </c>
      <c r="I128" s="1" t="s">
        <v>626</v>
      </c>
      <c r="J128" s="1" t="s">
        <v>628</v>
      </c>
      <c r="K128" s="1" t="str">
        <v>Starter Plan</v>
      </c>
      <c r="L128" s="1" t="str">
        <f t="shared" si="0"/>
        <v>Carlos Mendez</v>
      </c>
      <c r="M128" s="1" t="str">
        <f t="shared" si="68"/>
        <v>LATAM</v>
      </c>
      <c r="N128" s="15">
        <f t="shared" ref="N128:O128" si="131">VALUE(SUBSTITUTE(SUBSTITUTE(SUBSTITUTE(I128,"$",""),",",""),".",","))</f>
        <v>63.83</v>
      </c>
      <c r="O128" s="5">
        <f t="shared" si="70"/>
        <v>127.66</v>
      </c>
    </row>
    <row r="129" spans="1:15" ht="12.5">
      <c r="A129" s="1" t="s">
        <v>752</v>
      </c>
      <c r="B129" s="4">
        <v>45744</v>
      </c>
      <c r="C129" s="1" t="s">
        <v>142</v>
      </c>
      <c r="D129" s="1" t="s">
        <v>753</v>
      </c>
      <c r="E129" s="1" t="s">
        <v>67</v>
      </c>
      <c r="F129" s="1" t="s">
        <v>52</v>
      </c>
      <c r="G129" s="1" t="s">
        <v>32</v>
      </c>
      <c r="H129" s="1">
        <v>1</v>
      </c>
      <c r="I129" s="1" t="s">
        <v>754</v>
      </c>
      <c r="J129" s="1" t="s">
        <v>755</v>
      </c>
      <c r="K129" s="1" t="str">
        <v>Enterprise Plan</v>
      </c>
      <c r="L129" s="1" t="str">
        <f t="shared" si="0"/>
        <v>Carlos Mendez</v>
      </c>
      <c r="M129" s="1" t="str">
        <f t="shared" si="68"/>
        <v>LATAM</v>
      </c>
      <c r="N129" s="15">
        <f t="shared" ref="N129:O129" si="132">VALUE(SUBSTITUTE(SUBSTITUTE(SUBSTITUTE(I129,"$",""),",",""),".",","))</f>
        <v>1360.14</v>
      </c>
      <c r="O129" s="5">
        <f t="shared" si="70"/>
        <v>1360.14</v>
      </c>
    </row>
    <row r="130" spans="1:15" ht="12.5">
      <c r="A130" s="1" t="s">
        <v>425</v>
      </c>
      <c r="B130" s="4">
        <v>45698</v>
      </c>
      <c r="C130" s="1" t="s">
        <v>426</v>
      </c>
      <c r="D130" s="1" t="s">
        <v>13</v>
      </c>
      <c r="E130" s="1" t="s">
        <v>67</v>
      </c>
      <c r="F130" s="1" t="s">
        <v>52</v>
      </c>
      <c r="G130" s="1" t="s">
        <v>39</v>
      </c>
      <c r="H130" s="1">
        <v>1</v>
      </c>
      <c r="I130" s="1" t="s">
        <v>427</v>
      </c>
      <c r="J130" s="1" t="s">
        <v>427</v>
      </c>
      <c r="K130" s="1" t="str">
        <v>Starter Plan</v>
      </c>
      <c r="L130" s="1" t="str">
        <f t="shared" si="0"/>
        <v>Carlos Mendez</v>
      </c>
      <c r="M130" s="1" t="str">
        <f t="shared" si="68"/>
        <v>EMEA</v>
      </c>
      <c r="N130" s="15">
        <f t="shared" ref="N130:O130" si="133">VALUE(SUBSTITUTE(SUBSTITUTE(SUBSTITUTE(I130,"$",""),",",""),".",","))</f>
        <v>57.44</v>
      </c>
      <c r="O130" s="5">
        <f t="shared" si="70"/>
        <v>57.44</v>
      </c>
    </row>
    <row r="131" spans="1:15" ht="12.5">
      <c r="A131" s="1" t="s">
        <v>640</v>
      </c>
      <c r="B131" s="4">
        <v>45728</v>
      </c>
      <c r="C131" s="1" t="s">
        <v>66</v>
      </c>
      <c r="D131" s="1" t="s">
        <v>48</v>
      </c>
      <c r="E131" s="1" t="s">
        <v>163</v>
      </c>
      <c r="F131" s="1" t="s">
        <v>50</v>
      </c>
      <c r="G131" s="1" t="s">
        <v>17</v>
      </c>
      <c r="H131" s="1">
        <v>20</v>
      </c>
      <c r="I131" s="1" t="s">
        <v>641</v>
      </c>
      <c r="J131" s="1" t="s">
        <v>642</v>
      </c>
      <c r="K131" s="1" t="str">
        <v>Business Plan</v>
      </c>
      <c r="L131" s="1" t="str">
        <f t="shared" si="0"/>
        <v>Raj Sharma</v>
      </c>
      <c r="M131" s="1" t="str">
        <f t="shared" ref="M131:M194" si="134">IF(G131="","",IF(LOWER(TRIM(G131))="north america","North America",IF(LOWER(TRIM(G131))="emea","EMEA",IF(LOWER(TRIM(G131))="apac","APAC",IF(LOWER(TRIM(G131))="latam","LATAM",TRIM(G131))))))</f>
        <v>North America</v>
      </c>
      <c r="N131" s="15">
        <f t="shared" ref="N131:O131" si="135">VALUE(SUBSTITUTE(SUBSTITUTE(SUBSTITUTE(I131,"$",""),",",""),".",","))</f>
        <v>368.26</v>
      </c>
      <c r="O131" s="5">
        <f t="shared" ref="O131:O194" si="136">IF(OR(H131="",N131=""),"",H131*N131)</f>
        <v>7365.2</v>
      </c>
    </row>
    <row r="132" spans="1:15" ht="12.5">
      <c r="A132" s="1" t="s">
        <v>338</v>
      </c>
      <c r="B132" s="4">
        <v>45686</v>
      </c>
      <c r="C132" s="1" t="s">
        <v>186</v>
      </c>
      <c r="D132" s="1" t="s">
        <v>13</v>
      </c>
      <c r="E132" s="1" t="s">
        <v>67</v>
      </c>
      <c r="F132" s="1" t="s">
        <v>52</v>
      </c>
      <c r="G132" s="1" t="s">
        <v>17</v>
      </c>
      <c r="H132" s="1">
        <v>5</v>
      </c>
      <c r="I132" s="1" t="s">
        <v>339</v>
      </c>
      <c r="J132" s="1" t="s">
        <v>340</v>
      </c>
      <c r="K132" s="1" t="str">
        <v>Starter Plan</v>
      </c>
      <c r="L132" s="1" t="str">
        <f t="shared" si="0"/>
        <v>Carlos Mendez</v>
      </c>
      <c r="M132" s="1" t="str">
        <f t="shared" si="134"/>
        <v>North America</v>
      </c>
      <c r="N132" s="15">
        <f t="shared" ref="N132:O132" si="137">VALUE(SUBSTITUTE(SUBSTITUTE(SUBSTITUTE(I132,"$",""),",",""),".",","))</f>
        <v>45.35</v>
      </c>
      <c r="O132" s="5">
        <f t="shared" si="136"/>
        <v>226.75</v>
      </c>
    </row>
    <row r="133" spans="1:15" ht="12.5">
      <c r="A133" s="1" t="s">
        <v>99</v>
      </c>
      <c r="B133" s="4">
        <v>45662</v>
      </c>
      <c r="C133" s="1" t="s">
        <v>100</v>
      </c>
      <c r="D133" s="1" t="s">
        <v>13</v>
      </c>
      <c r="E133" s="1" t="s">
        <v>96</v>
      </c>
      <c r="F133" s="1" t="s">
        <v>50</v>
      </c>
      <c r="G133" s="1" t="s">
        <v>71</v>
      </c>
      <c r="H133" s="1">
        <v>50</v>
      </c>
      <c r="I133" s="1" t="s">
        <v>101</v>
      </c>
      <c r="J133" s="1" t="s">
        <v>102</v>
      </c>
      <c r="K133" s="1" t="str">
        <v>Starter Plan</v>
      </c>
      <c r="L133" s="1" t="str">
        <f t="shared" si="0"/>
        <v>Hannah Lee</v>
      </c>
      <c r="M133" s="1" t="str">
        <f t="shared" si="134"/>
        <v>APAC</v>
      </c>
      <c r="N133" s="15">
        <f t="shared" ref="N133:O133" si="138">VALUE(SUBSTITUTE(SUBSTITUTE(SUBSTITUTE(I133,"$",""),",",""),".",","))</f>
        <v>70.680000000000007</v>
      </c>
      <c r="O133" s="5">
        <f t="shared" si="136"/>
        <v>3534.0000000000005</v>
      </c>
    </row>
    <row r="134" spans="1:15" ht="12.5">
      <c r="A134" s="1" t="s">
        <v>293</v>
      </c>
      <c r="B134" s="4">
        <v>45681</v>
      </c>
      <c r="C134" s="1" t="s">
        <v>29</v>
      </c>
      <c r="D134" s="1" t="s">
        <v>37</v>
      </c>
      <c r="E134" s="1" t="s">
        <v>178</v>
      </c>
      <c r="F134" s="1" t="s">
        <v>31</v>
      </c>
      <c r="G134" s="1" t="s">
        <v>39</v>
      </c>
      <c r="H134" s="1">
        <v>1</v>
      </c>
      <c r="I134" s="1" t="s">
        <v>296</v>
      </c>
      <c r="J134" s="1" t="s">
        <v>296</v>
      </c>
      <c r="K134" s="1" t="str">
        <v>Add-on: Support</v>
      </c>
      <c r="L134" s="1" t="str">
        <f t="shared" si="0"/>
        <v>Aisha Hassan</v>
      </c>
      <c r="M134" s="1" t="str">
        <f t="shared" si="134"/>
        <v>EMEA</v>
      </c>
      <c r="N134" s="15">
        <f t="shared" ref="N134:O134" si="139">VALUE(SUBSTITUTE(SUBSTITUTE(SUBSTITUTE(I134,"$",""),",",""),".",","))</f>
        <v>132.72999999999999</v>
      </c>
      <c r="O134" s="5">
        <f t="shared" si="136"/>
        <v>132.72999999999999</v>
      </c>
    </row>
    <row r="135" spans="1:15" ht="12.5">
      <c r="A135" s="1" t="s">
        <v>365</v>
      </c>
      <c r="B135" s="4">
        <v>45689</v>
      </c>
      <c r="C135" s="1" t="s">
        <v>290</v>
      </c>
      <c r="D135" s="1" t="s">
        <v>24</v>
      </c>
      <c r="E135" s="1" t="s">
        <v>67</v>
      </c>
      <c r="F135" s="1" t="s">
        <v>52</v>
      </c>
      <c r="G135" s="1" t="s">
        <v>71</v>
      </c>
      <c r="H135" s="1">
        <v>1</v>
      </c>
      <c r="I135" s="1" t="s">
        <v>366</v>
      </c>
      <c r="J135" s="1" t="s">
        <v>367</v>
      </c>
      <c r="K135" s="1" t="str">
        <v>Pro Plan</v>
      </c>
      <c r="L135" s="1" t="str">
        <f t="shared" si="0"/>
        <v>Carlos Mendez</v>
      </c>
      <c r="M135" s="1" t="str">
        <f t="shared" si="134"/>
        <v>APAC</v>
      </c>
      <c r="N135" s="15">
        <f t="shared" ref="N135:O135" si="140">VALUE(SUBSTITUTE(SUBSTITUTE(SUBSTITUTE(I135,"$",""),",",""),".",","))</f>
        <v>285.02</v>
      </c>
      <c r="O135" s="5">
        <f t="shared" si="136"/>
        <v>285.02</v>
      </c>
    </row>
    <row r="136" spans="1:15" ht="12.5">
      <c r="A136" s="1" t="s">
        <v>335</v>
      </c>
      <c r="B136" s="4">
        <v>45685</v>
      </c>
      <c r="C136" s="1" t="s">
        <v>61</v>
      </c>
      <c r="D136" s="1" t="s">
        <v>48</v>
      </c>
      <c r="E136" s="1" t="s">
        <v>62</v>
      </c>
      <c r="F136" s="1" t="s">
        <v>31</v>
      </c>
      <c r="G136" s="1" t="s">
        <v>17</v>
      </c>
      <c r="H136" s="1">
        <v>1</v>
      </c>
      <c r="I136" s="1" t="s">
        <v>337</v>
      </c>
      <c r="J136" s="1" t="s">
        <v>337</v>
      </c>
      <c r="K136" s="1" t="str">
        <v>Business Plan</v>
      </c>
      <c r="L136" s="1" t="str">
        <f t="shared" si="0"/>
        <v>David Kim</v>
      </c>
      <c r="M136" s="1" t="str">
        <f t="shared" si="134"/>
        <v>North America</v>
      </c>
      <c r="N136" s="15">
        <f t="shared" ref="N136:O136" si="141">VALUE(SUBSTITUTE(SUBSTITUTE(SUBSTITUTE(I136,"$",""),",",""),".",","))</f>
        <v>493.26</v>
      </c>
      <c r="O136" s="5">
        <f t="shared" si="136"/>
        <v>493.26</v>
      </c>
    </row>
    <row r="137" spans="1:15" ht="12.5">
      <c r="A137" s="1" t="s">
        <v>438</v>
      </c>
      <c r="B137" s="4">
        <v>45701</v>
      </c>
      <c r="C137" s="1" t="s">
        <v>326</v>
      </c>
      <c r="D137" s="1" t="s">
        <v>117</v>
      </c>
      <c r="E137" s="1" t="s">
        <v>96</v>
      </c>
      <c r="F137" s="1" t="s">
        <v>50</v>
      </c>
      <c r="G137" s="1" t="s">
        <v>32</v>
      </c>
      <c r="H137" s="1">
        <v>10</v>
      </c>
      <c r="I137" s="1" t="s">
        <v>439</v>
      </c>
      <c r="J137" s="1" t="s">
        <v>440</v>
      </c>
      <c r="K137" s="1" t="str">
        <v>Add-on: Analytics</v>
      </c>
      <c r="L137" s="1" t="str">
        <f t="shared" si="0"/>
        <v>Hannah Lee</v>
      </c>
      <c r="M137" s="1" t="str">
        <f t="shared" si="134"/>
        <v>LATAM</v>
      </c>
      <c r="N137" s="15">
        <f t="shared" ref="N137:O137" si="142">VALUE(SUBSTITUTE(SUBSTITUTE(SUBSTITUTE(I137,"$",""),",",""),".",","))</f>
        <v>110.27</v>
      </c>
      <c r="O137" s="5">
        <f t="shared" si="136"/>
        <v>1102.7</v>
      </c>
    </row>
    <row r="138" spans="1:15" ht="12.5">
      <c r="A138" s="1" t="s">
        <v>599</v>
      </c>
      <c r="B138" s="4">
        <v>45721</v>
      </c>
      <c r="C138" s="1" t="s">
        <v>70</v>
      </c>
      <c r="D138" s="1" t="s">
        <v>24</v>
      </c>
      <c r="E138" s="1" t="s">
        <v>178</v>
      </c>
      <c r="F138" s="1" t="s">
        <v>31</v>
      </c>
      <c r="G138" s="1" t="s">
        <v>32</v>
      </c>
      <c r="H138" s="1">
        <v>10</v>
      </c>
      <c r="I138" s="1" t="s">
        <v>600</v>
      </c>
      <c r="J138" s="1" t="s">
        <v>601</v>
      </c>
      <c r="K138" s="1" t="str">
        <v>Pro Plan</v>
      </c>
      <c r="L138" s="1" t="str">
        <f t="shared" si="0"/>
        <v>Aisha Hassan</v>
      </c>
      <c r="M138" s="1" t="str">
        <f t="shared" si="134"/>
        <v>LATAM</v>
      </c>
      <c r="N138" s="15">
        <f t="shared" ref="N138:O138" si="143">VALUE(SUBSTITUTE(SUBSTITUTE(SUBSTITUTE(I138,"$",""),",",""),".",","))</f>
        <v>222.01</v>
      </c>
      <c r="O138" s="5">
        <f t="shared" si="136"/>
        <v>2220.1</v>
      </c>
    </row>
    <row r="139" spans="1:15" ht="12.5">
      <c r="A139" s="1" t="s">
        <v>74</v>
      </c>
      <c r="B139" s="4">
        <v>45661</v>
      </c>
      <c r="C139" s="1" t="s">
        <v>36</v>
      </c>
      <c r="D139" s="1" t="s">
        <v>13</v>
      </c>
      <c r="E139" s="1" t="s">
        <v>30</v>
      </c>
      <c r="F139" s="1" t="s">
        <v>31</v>
      </c>
      <c r="G139" s="1" t="s">
        <v>32</v>
      </c>
      <c r="H139" s="1">
        <v>5</v>
      </c>
      <c r="I139" s="1" t="s">
        <v>75</v>
      </c>
      <c r="J139" s="1" t="s">
        <v>76</v>
      </c>
      <c r="K139" s="1" t="str">
        <v>Starter Plan</v>
      </c>
      <c r="L139" s="1" t="str">
        <f t="shared" si="0"/>
        <v>Marcus Johnson</v>
      </c>
      <c r="M139" s="1" t="str">
        <f t="shared" si="134"/>
        <v>LATAM</v>
      </c>
      <c r="N139" s="15">
        <f t="shared" ref="N139:O139" si="144">VALUE(SUBSTITUTE(SUBSTITUTE(SUBSTITUTE(I139,"$",""),",",""),".",","))</f>
        <v>53.28</v>
      </c>
      <c r="O139" s="5">
        <f t="shared" si="136"/>
        <v>266.39999999999998</v>
      </c>
    </row>
    <row r="140" spans="1:15" ht="12.5">
      <c r="A140" s="1" t="s">
        <v>681</v>
      </c>
      <c r="B140" s="4">
        <v>45733</v>
      </c>
      <c r="C140" s="1" t="s">
        <v>200</v>
      </c>
      <c r="D140" s="1" t="s">
        <v>48</v>
      </c>
      <c r="E140" s="1" t="s">
        <v>67</v>
      </c>
      <c r="F140" s="1" t="s">
        <v>52</v>
      </c>
      <c r="G140" s="1" t="s">
        <v>86</v>
      </c>
      <c r="H140" s="1">
        <v>1</v>
      </c>
      <c r="I140" s="1" t="s">
        <v>682</v>
      </c>
      <c r="J140" s="1" t="s">
        <v>682</v>
      </c>
      <c r="K140" s="1" t="str">
        <v>Business Plan</v>
      </c>
      <c r="L140" s="1" t="str">
        <f t="shared" si="0"/>
        <v>Carlos Mendez</v>
      </c>
      <c r="M140" s="1" t="str">
        <f t="shared" si="134"/>
        <v>APAC</v>
      </c>
      <c r="N140" s="15">
        <f t="shared" ref="N140:O140" si="145">VALUE(SUBSTITUTE(SUBSTITUTE(SUBSTITUTE(I140,"$",""),",",""),".",","))</f>
        <v>403.84</v>
      </c>
      <c r="O140" s="5">
        <f t="shared" si="136"/>
        <v>403.84</v>
      </c>
    </row>
    <row r="141" spans="1:15" ht="12.5">
      <c r="A141" s="1" t="s">
        <v>351</v>
      </c>
      <c r="B141" s="4">
        <v>45687</v>
      </c>
      <c r="C141" s="1" t="s">
        <v>250</v>
      </c>
      <c r="D141" s="1" t="s">
        <v>37</v>
      </c>
      <c r="E141" s="1" t="s">
        <v>51</v>
      </c>
      <c r="F141" s="1" t="s">
        <v>52</v>
      </c>
      <c r="G141" s="1" t="s">
        <v>71</v>
      </c>
      <c r="H141" s="1">
        <v>2</v>
      </c>
      <c r="I141" s="1" t="s">
        <v>352</v>
      </c>
      <c r="J141" s="1" t="s">
        <v>353</v>
      </c>
      <c r="K141" s="1" t="str">
        <v>Add-on: Support</v>
      </c>
      <c r="L141" s="1" t="str">
        <f t="shared" si="0"/>
        <v>Priya Patel</v>
      </c>
      <c r="M141" s="1" t="str">
        <f t="shared" si="134"/>
        <v>APAC</v>
      </c>
      <c r="N141" s="15">
        <f t="shared" ref="N141:O141" si="146">VALUE(SUBSTITUTE(SUBSTITUTE(SUBSTITUTE(I141,"$",""),",",""),".",","))</f>
        <v>122.21</v>
      </c>
      <c r="O141" s="5">
        <f t="shared" si="136"/>
        <v>244.42</v>
      </c>
    </row>
    <row r="142" spans="1:15" ht="12.5">
      <c r="A142" s="1" t="s">
        <v>138</v>
      </c>
      <c r="B142" s="4">
        <v>45667</v>
      </c>
      <c r="C142" s="1" t="s">
        <v>36</v>
      </c>
      <c r="D142" s="1" t="s">
        <v>58</v>
      </c>
      <c r="E142" s="1" t="s">
        <v>38</v>
      </c>
      <c r="F142" s="1" t="s">
        <v>15</v>
      </c>
      <c r="G142" s="1" t="s">
        <v>86</v>
      </c>
      <c r="H142" s="1">
        <v>1</v>
      </c>
      <c r="I142" s="1" t="s">
        <v>139</v>
      </c>
      <c r="J142" s="1" t="s">
        <v>140</v>
      </c>
      <c r="K142" s="1" t="str">
        <v>Enterprise Plan</v>
      </c>
      <c r="L142" s="1" t="str">
        <f t="shared" si="0"/>
        <v>Elena Rossi</v>
      </c>
      <c r="M142" s="1" t="str">
        <f t="shared" si="134"/>
        <v>APAC</v>
      </c>
      <c r="N142" s="15">
        <f t="shared" ref="N142:O142" si="147">VALUE(SUBSTITUTE(SUBSTITUTE(SUBSTITUTE(I142,"$",""),",",""),".",","))</f>
        <v>1234.1300000000001</v>
      </c>
      <c r="O142" s="5">
        <f t="shared" si="136"/>
        <v>1234.1300000000001</v>
      </c>
    </row>
    <row r="143" spans="1:15" ht="12.5">
      <c r="A143" s="1" t="s">
        <v>341</v>
      </c>
      <c r="B143" s="4">
        <v>45686</v>
      </c>
      <c r="C143" s="1" t="s">
        <v>85</v>
      </c>
      <c r="D143" s="1" t="s">
        <v>48</v>
      </c>
      <c r="E143" s="1" t="s">
        <v>96</v>
      </c>
      <c r="F143" s="1" t="s">
        <v>50</v>
      </c>
      <c r="G143" s="1" t="s">
        <v>17</v>
      </c>
      <c r="H143" s="1">
        <v>1</v>
      </c>
      <c r="I143" s="1" t="s">
        <v>342</v>
      </c>
      <c r="J143" s="1" t="s">
        <v>342</v>
      </c>
      <c r="K143" s="1" t="str">
        <v>Business Plan</v>
      </c>
      <c r="L143" s="1" t="str">
        <f t="shared" si="0"/>
        <v>Hannah Lee</v>
      </c>
      <c r="M143" s="1" t="str">
        <f t="shared" si="134"/>
        <v>North America</v>
      </c>
      <c r="N143" s="15">
        <f t="shared" ref="N143:O143" si="148">VALUE(SUBSTITUTE(SUBSTITUTE(SUBSTITUTE(I143,"$",""),",",""),".",","))</f>
        <v>479.31</v>
      </c>
      <c r="O143" s="5">
        <f t="shared" si="136"/>
        <v>479.31</v>
      </c>
    </row>
    <row r="144" spans="1:15" ht="12.5">
      <c r="A144" s="1" t="s">
        <v>464</v>
      </c>
      <c r="B144" s="4">
        <v>45708</v>
      </c>
      <c r="C144" s="1" t="s">
        <v>66</v>
      </c>
      <c r="D144" s="1" t="s">
        <v>13</v>
      </c>
      <c r="E144" s="1" t="s">
        <v>163</v>
      </c>
      <c r="F144" s="1" t="s">
        <v>50</v>
      </c>
      <c r="G144" s="1" t="s">
        <v>39</v>
      </c>
      <c r="H144" s="1">
        <v>2</v>
      </c>
      <c r="I144" s="1" t="s">
        <v>465</v>
      </c>
      <c r="J144" s="1" t="s">
        <v>466</v>
      </c>
      <c r="K144" s="1" t="str">
        <v>Starter Plan</v>
      </c>
      <c r="L144" s="1" t="str">
        <f t="shared" si="0"/>
        <v>Raj Sharma</v>
      </c>
      <c r="M144" s="1" t="str">
        <f t="shared" si="134"/>
        <v>EMEA</v>
      </c>
      <c r="N144" s="15">
        <f t="shared" ref="N144:O144" si="149">VALUE(SUBSTITUTE(SUBSTITUTE(SUBSTITUTE(I144,"$",""),",",""),".",","))</f>
        <v>72.12</v>
      </c>
      <c r="O144" s="5">
        <f t="shared" si="136"/>
        <v>144.24</v>
      </c>
    </row>
    <row r="145" spans="1:15" ht="12.5">
      <c r="A145" s="1" t="s">
        <v>284</v>
      </c>
      <c r="B145" s="4">
        <v>45680</v>
      </c>
      <c r="C145" s="1" t="s">
        <v>106</v>
      </c>
      <c r="D145" s="1" t="s">
        <v>117</v>
      </c>
      <c r="E145" s="1" t="s">
        <v>178</v>
      </c>
      <c r="F145" s="1" t="s">
        <v>31</v>
      </c>
      <c r="G145" s="1" t="s">
        <v>230</v>
      </c>
      <c r="H145" s="1">
        <v>1</v>
      </c>
      <c r="I145" s="1" t="s">
        <v>285</v>
      </c>
      <c r="J145" s="1" t="s">
        <v>285</v>
      </c>
      <c r="K145" s="1" t="str">
        <v>Add-on: Analytics</v>
      </c>
      <c r="L145" s="1" t="str">
        <f t="shared" si="0"/>
        <v>Aisha Hassan</v>
      </c>
      <c r="M145" s="1" t="str">
        <f t="shared" si="134"/>
        <v>North America</v>
      </c>
      <c r="N145" s="15">
        <f t="shared" ref="N145:O145" si="150">VALUE(SUBSTITUTE(SUBSTITUTE(SUBSTITUTE(I145,"$",""),",",""),".",","))</f>
        <v>76.11</v>
      </c>
      <c r="O145" s="5">
        <f t="shared" si="136"/>
        <v>76.11</v>
      </c>
    </row>
    <row r="146" spans="1:15" ht="12.5">
      <c r="A146" s="1" t="s">
        <v>579</v>
      </c>
      <c r="B146" s="4">
        <v>45718</v>
      </c>
      <c r="C146" s="1" t="s">
        <v>125</v>
      </c>
      <c r="D146" s="1" t="s">
        <v>48</v>
      </c>
      <c r="E146" s="1" t="s">
        <v>178</v>
      </c>
      <c r="F146" s="1" t="s">
        <v>31</v>
      </c>
      <c r="G146" s="1" t="s">
        <v>17</v>
      </c>
      <c r="H146" s="1">
        <v>1</v>
      </c>
      <c r="I146" s="1" t="s">
        <v>580</v>
      </c>
      <c r="J146" s="1" t="s">
        <v>581</v>
      </c>
      <c r="K146" s="1" t="str">
        <v>Business Plan</v>
      </c>
      <c r="L146" s="1" t="str">
        <f t="shared" si="0"/>
        <v>Aisha Hassan</v>
      </c>
      <c r="M146" s="1" t="str">
        <f t="shared" si="134"/>
        <v>North America</v>
      </c>
      <c r="N146" s="15">
        <f t="shared" ref="N146:O146" si="151">VALUE(SUBSTITUTE(SUBSTITUTE(SUBSTITUTE(I146,"$",""),",",""),".",","))</f>
        <v>498.06</v>
      </c>
      <c r="O146" s="5">
        <f t="shared" si="136"/>
        <v>498.06</v>
      </c>
    </row>
    <row r="147" spans="1:15" ht="12.5">
      <c r="A147" s="1" t="s">
        <v>357</v>
      </c>
      <c r="B147" s="4">
        <v>45688</v>
      </c>
      <c r="C147" s="1" t="s">
        <v>79</v>
      </c>
      <c r="D147" s="1" t="s">
        <v>13</v>
      </c>
      <c r="E147" s="1" t="s">
        <v>30</v>
      </c>
      <c r="F147" s="1" t="s">
        <v>31</v>
      </c>
      <c r="G147" s="1" t="s">
        <v>160</v>
      </c>
      <c r="H147" s="1">
        <v>2</v>
      </c>
      <c r="I147" s="1" t="s">
        <v>358</v>
      </c>
      <c r="J147" s="1" t="s">
        <v>359</v>
      </c>
      <c r="K147" s="1" t="str">
        <v>Starter Plan</v>
      </c>
      <c r="L147" s="1" t="str">
        <f t="shared" si="0"/>
        <v>Marcus Johnson</v>
      </c>
      <c r="M147" s="1" t="str">
        <f t="shared" si="134"/>
        <v>North America</v>
      </c>
      <c r="N147" s="15">
        <f t="shared" ref="N147:O147" si="152">VALUE(SUBSTITUTE(SUBSTITUTE(SUBSTITUTE(I147,"$",""),",",""),".",","))</f>
        <v>49.89</v>
      </c>
      <c r="O147" s="5">
        <f t="shared" si="136"/>
        <v>99.78</v>
      </c>
    </row>
    <row r="148" spans="1:15" ht="12.5">
      <c r="A148" s="1" t="s">
        <v>652</v>
      </c>
      <c r="B148" s="4">
        <v>45729</v>
      </c>
      <c r="C148" s="1" t="s">
        <v>85</v>
      </c>
      <c r="D148" s="1" t="s">
        <v>24</v>
      </c>
      <c r="E148" s="1" t="s">
        <v>30</v>
      </c>
      <c r="F148" s="1" t="s">
        <v>31</v>
      </c>
      <c r="G148" s="1" t="s">
        <v>205</v>
      </c>
      <c r="H148" s="1">
        <v>10</v>
      </c>
      <c r="I148" s="1" t="s">
        <v>653</v>
      </c>
      <c r="J148" s="6" t="s">
        <v>654</v>
      </c>
      <c r="K148" s="1" t="str">
        <v>Pro Plan</v>
      </c>
      <c r="L148" s="1" t="str">
        <f t="shared" si="0"/>
        <v>Marcus Johnson</v>
      </c>
      <c r="M148" s="1" t="str">
        <f t="shared" si="134"/>
        <v>EMEA</v>
      </c>
      <c r="N148" s="15">
        <f t="shared" ref="N148:O148" si="153">VALUE(SUBSTITUTE(SUBSTITUTE(SUBSTITUTE(I148,"$",""),",",""),".",","))</f>
        <v>162.59</v>
      </c>
      <c r="O148" s="5">
        <f t="shared" si="136"/>
        <v>1625.9</v>
      </c>
    </row>
    <row r="149" spans="1:15" ht="12.5">
      <c r="A149" s="1" t="s">
        <v>235</v>
      </c>
      <c r="B149" s="4">
        <v>45675</v>
      </c>
      <c r="C149" s="1" t="s">
        <v>42</v>
      </c>
      <c r="D149" s="1" t="s">
        <v>48</v>
      </c>
      <c r="E149" s="1" t="s">
        <v>178</v>
      </c>
      <c r="F149" s="1" t="s">
        <v>31</v>
      </c>
      <c r="G149" s="1" t="s">
        <v>17</v>
      </c>
      <c r="H149" s="1">
        <v>1</v>
      </c>
      <c r="I149" s="1" t="s">
        <v>236</v>
      </c>
      <c r="J149" s="1" t="s">
        <v>236</v>
      </c>
      <c r="K149" s="1" t="str">
        <v>Business Plan</v>
      </c>
      <c r="L149" s="1" t="str">
        <f t="shared" si="0"/>
        <v>Aisha Hassan</v>
      </c>
      <c r="M149" s="1" t="str">
        <f t="shared" si="134"/>
        <v>North America</v>
      </c>
      <c r="N149" s="15">
        <f t="shared" ref="N149:O149" si="154">VALUE(SUBSTITUTE(SUBSTITUTE(SUBSTITUTE(I149,"$",""),",",""),".",","))</f>
        <v>407.67</v>
      </c>
      <c r="O149" s="5">
        <f t="shared" si="136"/>
        <v>407.67</v>
      </c>
    </row>
    <row r="150" spans="1:15" ht="12.5">
      <c r="A150" s="1" t="s">
        <v>503</v>
      </c>
      <c r="B150" s="4">
        <v>45711</v>
      </c>
      <c r="C150" s="1" t="s">
        <v>122</v>
      </c>
      <c r="D150" s="1" t="s">
        <v>13</v>
      </c>
      <c r="E150" s="1" t="s">
        <v>14</v>
      </c>
      <c r="F150" s="1" t="s">
        <v>15</v>
      </c>
      <c r="G150" s="1" t="s">
        <v>39</v>
      </c>
      <c r="H150" s="1">
        <v>10</v>
      </c>
      <c r="I150" s="1" t="s">
        <v>504</v>
      </c>
      <c r="J150" s="1" t="s">
        <v>505</v>
      </c>
      <c r="K150" s="1" t="str">
        <v>Starter Plan</v>
      </c>
      <c r="L150" s="1" t="str">
        <f t="shared" si="0"/>
        <v>Nina Petrov</v>
      </c>
      <c r="M150" s="1" t="str">
        <f t="shared" si="134"/>
        <v>EMEA</v>
      </c>
      <c r="N150" s="15">
        <f t="shared" ref="N150:O150" si="155">VALUE(SUBSTITUTE(SUBSTITUTE(SUBSTITUTE(I150,"$",""),",",""),".",","))</f>
        <v>58.15</v>
      </c>
      <c r="O150" s="5">
        <f t="shared" si="136"/>
        <v>581.5</v>
      </c>
    </row>
    <row r="151" spans="1:15" ht="12.5">
      <c r="A151" s="1" t="s">
        <v>103</v>
      </c>
      <c r="B151" s="4">
        <v>45662</v>
      </c>
      <c r="C151" s="1" t="s">
        <v>46</v>
      </c>
      <c r="D151" s="1" t="s">
        <v>24</v>
      </c>
      <c r="E151" s="1" t="s">
        <v>49</v>
      </c>
      <c r="F151" s="1" t="s">
        <v>50</v>
      </c>
      <c r="G151" s="1" t="s">
        <v>39</v>
      </c>
      <c r="H151" s="1">
        <v>20</v>
      </c>
      <c r="I151" s="1" t="s">
        <v>104</v>
      </c>
      <c r="J151" s="6">
        <v>710064</v>
      </c>
      <c r="K151" s="1" t="str">
        <v>Pro Plan</v>
      </c>
      <c r="L151" s="1" t="str">
        <f t="shared" si="0"/>
        <v>James Park</v>
      </c>
      <c r="M151" s="1" t="str">
        <f t="shared" si="134"/>
        <v>EMEA</v>
      </c>
      <c r="N151" s="15">
        <f t="shared" ref="N151:O151" si="156">VALUE(SUBSTITUTE(SUBSTITUTE(SUBSTITUTE(I151,"$",""),",",""),".",","))</f>
        <v>192.21</v>
      </c>
      <c r="O151" s="5">
        <f t="shared" si="136"/>
        <v>3844.2000000000003</v>
      </c>
    </row>
    <row r="152" spans="1:15" ht="12.5">
      <c r="A152" s="1" t="s">
        <v>643</v>
      </c>
      <c r="B152" s="4">
        <v>45728</v>
      </c>
      <c r="C152" s="1" t="s">
        <v>445</v>
      </c>
      <c r="D152" s="1" t="s">
        <v>117</v>
      </c>
      <c r="E152" s="1" t="s">
        <v>25</v>
      </c>
      <c r="F152" s="1" t="s">
        <v>15</v>
      </c>
      <c r="G152" s="1" t="s">
        <v>39</v>
      </c>
      <c r="H152" s="1">
        <v>10</v>
      </c>
      <c r="I152" s="1" t="s">
        <v>644</v>
      </c>
      <c r="J152" s="1" t="s">
        <v>645</v>
      </c>
      <c r="K152" s="1" t="str">
        <v>Add-on: Analytics</v>
      </c>
      <c r="L152" s="1" t="str">
        <f t="shared" si="0"/>
        <v>Tom Wilson</v>
      </c>
      <c r="M152" s="1" t="str">
        <f t="shared" si="134"/>
        <v>EMEA</v>
      </c>
      <c r="N152" s="15">
        <f t="shared" ref="N152:O152" si="157">VALUE(SUBSTITUTE(SUBSTITUTE(SUBSTITUTE(I152,"$",""),",",""),".",","))</f>
        <v>72.31</v>
      </c>
      <c r="O152" s="5">
        <f t="shared" si="136"/>
        <v>723.1</v>
      </c>
    </row>
    <row r="153" spans="1:15" ht="12.5">
      <c r="A153" s="1" t="s">
        <v>41</v>
      </c>
      <c r="B153" s="4">
        <v>45659</v>
      </c>
      <c r="C153" s="1" t="s">
        <v>42</v>
      </c>
      <c r="D153" s="1" t="s">
        <v>13</v>
      </c>
      <c r="E153" s="1" t="s">
        <v>38</v>
      </c>
      <c r="F153" s="1" t="s">
        <v>15</v>
      </c>
      <c r="G153" s="1" t="s">
        <v>17</v>
      </c>
      <c r="H153" s="1">
        <v>1</v>
      </c>
      <c r="I153" s="1" t="s">
        <v>44</v>
      </c>
      <c r="J153" s="1" t="s">
        <v>44</v>
      </c>
      <c r="K153" s="1" t="str">
        <v>Starter Plan</v>
      </c>
      <c r="L153" s="1" t="str">
        <f t="shared" si="0"/>
        <v>Elena Rossi</v>
      </c>
      <c r="M153" s="1" t="str">
        <f t="shared" si="134"/>
        <v>North America</v>
      </c>
      <c r="N153" s="15">
        <f t="shared" ref="N153:O153" si="158">VALUE(SUBSTITUTE(SUBSTITUTE(SUBSTITUTE(I153,"$",""),",",""),".",","))</f>
        <v>73.94</v>
      </c>
      <c r="O153" s="5">
        <f t="shared" si="136"/>
        <v>73.94</v>
      </c>
    </row>
    <row r="154" spans="1:15" ht="12.5">
      <c r="A154" s="1" t="s">
        <v>158</v>
      </c>
      <c r="B154" s="4">
        <v>45668</v>
      </c>
      <c r="C154" s="1" t="s">
        <v>159</v>
      </c>
      <c r="D154" s="1" t="s">
        <v>24</v>
      </c>
      <c r="E154" s="1" t="s">
        <v>30</v>
      </c>
      <c r="F154" s="1" t="s">
        <v>31</v>
      </c>
      <c r="G154" s="1" t="s">
        <v>160</v>
      </c>
      <c r="H154" s="1">
        <v>1</v>
      </c>
      <c r="I154" s="1" t="s">
        <v>161</v>
      </c>
      <c r="J154" s="1" t="s">
        <v>161</v>
      </c>
      <c r="K154" s="1" t="str">
        <v>Pro Plan</v>
      </c>
      <c r="L154" s="1" t="str">
        <f t="shared" si="0"/>
        <v>Marcus Johnson</v>
      </c>
      <c r="M154" s="1" t="str">
        <f t="shared" si="134"/>
        <v>North America</v>
      </c>
      <c r="N154" s="15">
        <f t="shared" ref="N154:O154" si="159">VALUE(SUBSTITUTE(SUBSTITUTE(SUBSTITUTE(I154,"$",""),",",""),".",","))</f>
        <v>161.18</v>
      </c>
      <c r="O154" s="5">
        <f t="shared" si="136"/>
        <v>161.18</v>
      </c>
    </row>
    <row r="155" spans="1:15" ht="12.5">
      <c r="A155" s="1" t="s">
        <v>462</v>
      </c>
      <c r="B155" s="4">
        <v>45707</v>
      </c>
      <c r="C155" s="1" t="s">
        <v>290</v>
      </c>
      <c r="D155" s="1" t="s">
        <v>58</v>
      </c>
      <c r="E155" s="1" t="s">
        <v>30</v>
      </c>
      <c r="F155" s="1" t="s">
        <v>31</v>
      </c>
      <c r="G155" s="1" t="s">
        <v>71</v>
      </c>
      <c r="H155" s="1">
        <v>10</v>
      </c>
      <c r="I155" s="1" t="s">
        <v>463</v>
      </c>
      <c r="J155" s="6">
        <v>2911136</v>
      </c>
      <c r="K155" s="1" t="str">
        <v>Enterprise Plan</v>
      </c>
      <c r="L155" s="1" t="str">
        <f t="shared" si="0"/>
        <v>Marcus Johnson</v>
      </c>
      <c r="M155" s="1" t="str">
        <f t="shared" si="134"/>
        <v>APAC</v>
      </c>
      <c r="N155" s="15">
        <f t="shared" ref="N155:O155" si="160">VALUE(SUBSTITUTE(SUBSTITUTE(SUBSTITUTE(I155,"$",""),",",""),".",","))</f>
        <v>987.06</v>
      </c>
      <c r="O155" s="5">
        <f t="shared" si="136"/>
        <v>9870.5999999999985</v>
      </c>
    </row>
    <row r="156" spans="1:15" ht="12.5">
      <c r="A156" s="1" t="s">
        <v>141</v>
      </c>
      <c r="B156" s="4">
        <v>45667</v>
      </c>
      <c r="C156" s="1" t="s">
        <v>142</v>
      </c>
      <c r="D156" s="1" t="s">
        <v>24</v>
      </c>
      <c r="E156" s="1" t="s">
        <v>14</v>
      </c>
      <c r="F156" s="1" t="s">
        <v>15</v>
      </c>
      <c r="G156" s="1" t="s">
        <v>17</v>
      </c>
      <c r="H156" s="1">
        <v>1</v>
      </c>
      <c r="I156" s="1" t="s">
        <v>144</v>
      </c>
      <c r="J156" s="1" t="s">
        <v>144</v>
      </c>
      <c r="K156" s="1" t="str">
        <v>Pro Plan</v>
      </c>
      <c r="L156" s="1" t="str">
        <f t="shared" si="0"/>
        <v>Nina Petrov</v>
      </c>
      <c r="M156" s="1" t="str">
        <f t="shared" si="134"/>
        <v>North America</v>
      </c>
      <c r="N156" s="15">
        <f t="shared" ref="N156:O156" si="161">VALUE(SUBSTITUTE(SUBSTITUTE(SUBSTITUTE(I156,"$",""),",",""),".",","))</f>
        <v>219.47</v>
      </c>
      <c r="O156" s="5">
        <f t="shared" si="136"/>
        <v>219.47</v>
      </c>
    </row>
    <row r="157" spans="1:15" ht="12.5">
      <c r="A157" s="1" t="s">
        <v>749</v>
      </c>
      <c r="B157" s="4">
        <v>45743</v>
      </c>
      <c r="C157" s="1" t="s">
        <v>70</v>
      </c>
      <c r="D157" s="1" t="s">
        <v>48</v>
      </c>
      <c r="E157" s="1" t="s">
        <v>51</v>
      </c>
      <c r="F157" s="1" t="s">
        <v>52</v>
      </c>
      <c r="G157" s="1" t="s">
        <v>39</v>
      </c>
      <c r="H157" s="1">
        <v>2</v>
      </c>
      <c r="I157" s="1" t="s">
        <v>750</v>
      </c>
      <c r="J157" s="1" t="s">
        <v>751</v>
      </c>
      <c r="K157" s="1" t="str">
        <v>Business Plan</v>
      </c>
      <c r="L157" s="1" t="str">
        <f t="shared" si="0"/>
        <v>Priya Patel</v>
      </c>
      <c r="M157" s="1" t="str">
        <f t="shared" si="134"/>
        <v>EMEA</v>
      </c>
      <c r="N157" s="15">
        <f t="shared" ref="N157:O157" si="162">VALUE(SUBSTITUTE(SUBSTITUTE(SUBSTITUTE(I157,"$",""),",",""),".",","))</f>
        <v>445.67</v>
      </c>
      <c r="O157" s="5">
        <f t="shared" si="136"/>
        <v>891.34</v>
      </c>
    </row>
    <row r="158" spans="1:15" ht="12.5">
      <c r="A158" s="1" t="s">
        <v>563</v>
      </c>
      <c r="B158" s="4">
        <v>45717</v>
      </c>
      <c r="C158" s="1" t="s">
        <v>106</v>
      </c>
      <c r="D158" s="1" t="s">
        <v>24</v>
      </c>
      <c r="E158" s="1" t="s">
        <v>178</v>
      </c>
      <c r="F158" s="1" t="s">
        <v>31</v>
      </c>
      <c r="G158" s="1" t="s">
        <v>17</v>
      </c>
      <c r="H158" s="1">
        <v>5</v>
      </c>
      <c r="I158" s="1" t="s">
        <v>564</v>
      </c>
      <c r="J158" s="1" t="s">
        <v>565</v>
      </c>
      <c r="K158" s="1" t="str">
        <v>Pro Plan</v>
      </c>
      <c r="L158" s="1" t="str">
        <f t="shared" si="0"/>
        <v>Aisha Hassan</v>
      </c>
      <c r="M158" s="1" t="str">
        <f t="shared" si="134"/>
        <v>North America</v>
      </c>
      <c r="N158" s="15">
        <f t="shared" ref="N158:O158" si="163">VALUE(SUBSTITUTE(SUBSTITUTE(SUBSTITUTE(I158,"$",""),",",""),".",","))</f>
        <v>185.31</v>
      </c>
      <c r="O158" s="5">
        <f t="shared" si="136"/>
        <v>926.55</v>
      </c>
    </row>
    <row r="159" spans="1:15" ht="12.5">
      <c r="A159" s="1" t="s">
        <v>268</v>
      </c>
      <c r="B159" s="4">
        <v>45678</v>
      </c>
      <c r="C159" s="1" t="s">
        <v>169</v>
      </c>
      <c r="D159" s="1" t="s">
        <v>117</v>
      </c>
      <c r="E159" s="1" t="s">
        <v>30</v>
      </c>
      <c r="F159" s="1" t="s">
        <v>31</v>
      </c>
      <c r="G159" s="1" t="s">
        <v>86</v>
      </c>
      <c r="H159" s="1">
        <v>5</v>
      </c>
      <c r="I159" s="1" t="s">
        <v>269</v>
      </c>
      <c r="J159" s="1" t="s">
        <v>270</v>
      </c>
      <c r="K159" s="1" t="str">
        <v>Add-on: Analytics</v>
      </c>
      <c r="L159" s="1" t="str">
        <f t="shared" si="0"/>
        <v>Marcus Johnson</v>
      </c>
      <c r="M159" s="1" t="str">
        <f t="shared" si="134"/>
        <v>APAC</v>
      </c>
      <c r="N159" s="15">
        <f t="shared" ref="N159:O159" si="164">VALUE(SUBSTITUTE(SUBSTITUTE(SUBSTITUTE(I159,"$",""),",",""),".",","))</f>
        <v>67.430000000000007</v>
      </c>
      <c r="O159" s="5">
        <f t="shared" si="136"/>
        <v>337.15000000000003</v>
      </c>
    </row>
    <row r="160" spans="1:15" ht="12.5">
      <c r="A160" s="1" t="s">
        <v>510</v>
      </c>
      <c r="B160" s="4">
        <v>45712</v>
      </c>
      <c r="C160" s="1" t="s">
        <v>47</v>
      </c>
      <c r="D160" s="1" t="s">
        <v>58</v>
      </c>
      <c r="E160" s="1" t="s">
        <v>67</v>
      </c>
      <c r="F160" s="1" t="s">
        <v>52</v>
      </c>
      <c r="G160" s="1" t="s">
        <v>17</v>
      </c>
      <c r="H160" s="1">
        <v>1</v>
      </c>
      <c r="I160" s="1" t="s">
        <v>511</v>
      </c>
      <c r="J160" s="1" t="s">
        <v>511</v>
      </c>
      <c r="K160" s="1" t="str">
        <v>Enterprise Plan</v>
      </c>
      <c r="L160" s="1" t="str">
        <f t="shared" si="0"/>
        <v>Carlos Mendez</v>
      </c>
      <c r="M160" s="1" t="str">
        <f t="shared" si="134"/>
        <v>North America</v>
      </c>
      <c r="N160" s="15">
        <f t="shared" ref="N160:O160" si="165">VALUE(SUBSTITUTE(SUBSTITUTE(SUBSTITUTE(I160,"$",""),",",""),".",","))</f>
        <v>985.63</v>
      </c>
      <c r="O160" s="5">
        <f t="shared" si="136"/>
        <v>985.63</v>
      </c>
    </row>
    <row r="161" spans="1:15" ht="12.5">
      <c r="A161" s="1" t="s">
        <v>617</v>
      </c>
      <c r="B161" s="4">
        <v>45724</v>
      </c>
      <c r="C161" s="1" t="s">
        <v>250</v>
      </c>
      <c r="D161" s="1" t="s">
        <v>24</v>
      </c>
      <c r="E161" s="1" t="s">
        <v>163</v>
      </c>
      <c r="F161" s="1" t="s">
        <v>50</v>
      </c>
      <c r="G161" s="1" t="s">
        <v>17</v>
      </c>
      <c r="H161" s="1">
        <v>1</v>
      </c>
      <c r="I161" s="1" t="s">
        <v>618</v>
      </c>
      <c r="J161" s="1" t="s">
        <v>618</v>
      </c>
      <c r="K161" s="1" t="str">
        <v>Pro Plan</v>
      </c>
      <c r="L161" s="1" t="str">
        <f t="shared" si="0"/>
        <v>Raj Sharma</v>
      </c>
      <c r="M161" s="1" t="str">
        <f t="shared" si="134"/>
        <v>North America</v>
      </c>
      <c r="N161" s="15">
        <f t="shared" ref="N161:O161" si="166">VALUE(SUBSTITUTE(SUBSTITUTE(SUBSTITUTE(I161,"$",""),",",""),".",","))</f>
        <v>186.32</v>
      </c>
      <c r="O161" s="5">
        <f t="shared" si="136"/>
        <v>186.32</v>
      </c>
    </row>
    <row r="162" spans="1:15" ht="12.5">
      <c r="A162" s="1" t="s">
        <v>382</v>
      </c>
      <c r="B162" s="4">
        <v>45692</v>
      </c>
      <c r="C162" s="1" t="s">
        <v>215</v>
      </c>
      <c r="D162" s="1" t="s">
        <v>48</v>
      </c>
      <c r="E162" s="1" t="s">
        <v>96</v>
      </c>
      <c r="F162" s="1" t="s">
        <v>50</v>
      </c>
      <c r="G162" s="1" t="s">
        <v>17</v>
      </c>
      <c r="H162" s="1">
        <v>5</v>
      </c>
      <c r="I162" s="1" t="s">
        <v>383</v>
      </c>
      <c r="J162" s="1" t="s">
        <v>384</v>
      </c>
      <c r="K162" s="1" t="str">
        <v>Business Plan</v>
      </c>
      <c r="L162" s="1" t="str">
        <f t="shared" si="0"/>
        <v>Hannah Lee</v>
      </c>
      <c r="M162" s="1" t="str">
        <f t="shared" si="134"/>
        <v>North America</v>
      </c>
      <c r="N162" s="15">
        <f t="shared" ref="N162:O162" si="167">VALUE(SUBSTITUTE(SUBSTITUTE(SUBSTITUTE(I162,"$",""),",",""),".",","))</f>
        <v>418.06</v>
      </c>
      <c r="O162" s="5">
        <f t="shared" si="136"/>
        <v>2090.3000000000002</v>
      </c>
    </row>
    <row r="163" spans="1:15" ht="12.5">
      <c r="A163" s="1" t="s">
        <v>566</v>
      </c>
      <c r="B163" s="4">
        <v>45717</v>
      </c>
      <c r="C163" s="1" t="s">
        <v>66</v>
      </c>
      <c r="D163" s="1" t="s">
        <v>24</v>
      </c>
      <c r="E163" s="1" t="s">
        <v>25</v>
      </c>
      <c r="F163" s="1" t="s">
        <v>15</v>
      </c>
      <c r="G163" s="1" t="s">
        <v>71</v>
      </c>
      <c r="H163" s="1">
        <v>2</v>
      </c>
      <c r="I163" s="1" t="s">
        <v>567</v>
      </c>
      <c r="J163" s="1" t="s">
        <v>568</v>
      </c>
      <c r="K163" s="1" t="str">
        <v>Pro Plan</v>
      </c>
      <c r="L163" s="1" t="str">
        <f t="shared" si="0"/>
        <v>Tom Wilson</v>
      </c>
      <c r="M163" s="1" t="str">
        <f t="shared" si="134"/>
        <v>APAC</v>
      </c>
      <c r="N163" s="15">
        <f t="shared" ref="N163:O163" si="168">VALUE(SUBSTITUTE(SUBSTITUTE(SUBSTITUTE(I163,"$",""),",",""),".",","))</f>
        <v>262.29000000000002</v>
      </c>
      <c r="O163" s="5">
        <f t="shared" si="136"/>
        <v>524.58000000000004</v>
      </c>
    </row>
    <row r="164" spans="1:15" ht="12.5">
      <c r="A164" s="1" t="s">
        <v>702</v>
      </c>
      <c r="B164" s="4">
        <v>45735</v>
      </c>
      <c r="C164" s="1" t="s">
        <v>142</v>
      </c>
      <c r="D164" s="1" t="s">
        <v>37</v>
      </c>
      <c r="E164" s="1" t="s">
        <v>107</v>
      </c>
      <c r="F164" s="1" t="s">
        <v>52</v>
      </c>
      <c r="G164" s="1" t="s">
        <v>71</v>
      </c>
      <c r="H164" s="1">
        <v>10</v>
      </c>
      <c r="I164" s="1" t="s">
        <v>704</v>
      </c>
      <c r="J164" s="1" t="s">
        <v>705</v>
      </c>
      <c r="K164" s="1" t="str">
        <v>Add-on: Support</v>
      </c>
      <c r="L164" s="1" t="str">
        <f t="shared" si="0"/>
        <v>Sophie Laurent</v>
      </c>
      <c r="M164" s="1" t="str">
        <f t="shared" si="134"/>
        <v>APAC</v>
      </c>
      <c r="N164" s="15">
        <f t="shared" ref="N164:O164" si="169">VALUE(SUBSTITUTE(SUBSTITUTE(SUBSTITUTE(I164,"$",""),",",""),".",","))</f>
        <v>135.5</v>
      </c>
      <c r="O164" s="5">
        <f t="shared" si="136"/>
        <v>1355</v>
      </c>
    </row>
    <row r="165" spans="1:15" ht="12.5">
      <c r="A165" s="1" t="s">
        <v>279</v>
      </c>
      <c r="B165" s="4">
        <v>45679</v>
      </c>
      <c r="C165" s="1" t="s">
        <v>222</v>
      </c>
      <c r="D165" s="1" t="s">
        <v>117</v>
      </c>
      <c r="E165" s="1" t="s">
        <v>49</v>
      </c>
      <c r="F165" s="1" t="s">
        <v>50</v>
      </c>
      <c r="G165" s="1" t="s">
        <v>17</v>
      </c>
      <c r="H165" s="1">
        <v>20</v>
      </c>
      <c r="I165" s="1" t="s">
        <v>280</v>
      </c>
      <c r="J165" s="1" t="s">
        <v>281</v>
      </c>
      <c r="K165" s="1" t="str">
        <v>Add-on: Analytics</v>
      </c>
      <c r="L165" s="1" t="str">
        <f t="shared" si="0"/>
        <v>James Park</v>
      </c>
      <c r="M165" s="1" t="str">
        <f t="shared" si="134"/>
        <v>North America</v>
      </c>
      <c r="N165" s="15">
        <f t="shared" ref="N165:O165" si="170">VALUE(SUBSTITUTE(SUBSTITUTE(SUBSTITUTE(I165,"$",""),",",""),".",","))</f>
        <v>98.54</v>
      </c>
      <c r="O165" s="5">
        <f t="shared" si="136"/>
        <v>1970.8000000000002</v>
      </c>
    </row>
    <row r="166" spans="1:15" ht="12.5">
      <c r="A166" s="1" t="s">
        <v>744</v>
      </c>
      <c r="B166" s="4">
        <v>45742</v>
      </c>
      <c r="C166" s="1" t="s">
        <v>23</v>
      </c>
      <c r="D166" s="1" t="s">
        <v>117</v>
      </c>
      <c r="E166" s="1" t="s">
        <v>14</v>
      </c>
      <c r="F166" s="1" t="s">
        <v>15</v>
      </c>
      <c r="G166" s="1" t="s">
        <v>39</v>
      </c>
      <c r="H166" s="1">
        <v>1</v>
      </c>
      <c r="I166" s="1" t="s">
        <v>745</v>
      </c>
      <c r="J166" s="1" t="s">
        <v>745</v>
      </c>
      <c r="K166" s="1" t="str">
        <v>Add-on: Analytics</v>
      </c>
      <c r="L166" s="1" t="str">
        <f t="shared" si="0"/>
        <v>Nina Petrov</v>
      </c>
      <c r="M166" s="1" t="str">
        <f t="shared" si="134"/>
        <v>EMEA</v>
      </c>
      <c r="N166" s="15">
        <f t="shared" ref="N166:O166" si="171">VALUE(SUBSTITUTE(SUBSTITUTE(SUBSTITUTE(I166,"$",""),",",""),".",","))</f>
        <v>95.13</v>
      </c>
      <c r="O166" s="5">
        <f t="shared" si="136"/>
        <v>95.13</v>
      </c>
    </row>
    <row r="167" spans="1:15" ht="12.5">
      <c r="A167" s="1" t="s">
        <v>691</v>
      </c>
      <c r="B167" s="4">
        <v>45734</v>
      </c>
      <c r="C167" s="1" t="s">
        <v>47</v>
      </c>
      <c r="D167" s="1" t="s">
        <v>13</v>
      </c>
      <c r="E167" s="1" t="s">
        <v>62</v>
      </c>
      <c r="F167" s="1" t="s">
        <v>31</v>
      </c>
      <c r="G167" s="1" t="s">
        <v>17</v>
      </c>
      <c r="H167" s="1">
        <v>5</v>
      </c>
      <c r="I167" s="1" t="s">
        <v>692</v>
      </c>
      <c r="J167" s="1" t="s">
        <v>693</v>
      </c>
      <c r="K167" s="1" t="str">
        <v>Starter Plan</v>
      </c>
      <c r="L167" s="1" t="str">
        <f t="shared" si="0"/>
        <v>David Kim</v>
      </c>
      <c r="M167" s="1" t="str">
        <f t="shared" si="134"/>
        <v>North America</v>
      </c>
      <c r="N167" s="15">
        <f t="shared" ref="N167:O167" si="172">VALUE(SUBSTITUTE(SUBSTITUTE(SUBSTITUTE(I167,"$",""),",",""),".",","))</f>
        <v>75.13</v>
      </c>
      <c r="O167" s="5">
        <f t="shared" si="136"/>
        <v>375.65</v>
      </c>
    </row>
    <row r="168" spans="1:15" ht="12.5">
      <c r="A168" s="1" t="s">
        <v>253</v>
      </c>
      <c r="B168" s="4">
        <v>45677</v>
      </c>
      <c r="C168" s="1" t="s">
        <v>146</v>
      </c>
      <c r="D168" s="1" t="s">
        <v>48</v>
      </c>
      <c r="E168" s="1" t="s">
        <v>30</v>
      </c>
      <c r="F168" s="1" t="s">
        <v>31</v>
      </c>
      <c r="G168" s="1" t="s">
        <v>160</v>
      </c>
      <c r="H168" s="1">
        <v>5</v>
      </c>
      <c r="I168" s="1" t="s">
        <v>254</v>
      </c>
      <c r="J168" s="1" t="s">
        <v>255</v>
      </c>
      <c r="K168" s="1" t="str">
        <v>Business Plan</v>
      </c>
      <c r="L168" s="1" t="str">
        <f t="shared" si="0"/>
        <v>Marcus Johnson</v>
      </c>
      <c r="M168" s="1" t="str">
        <f t="shared" si="134"/>
        <v>North America</v>
      </c>
      <c r="N168" s="15">
        <f t="shared" ref="N168:O168" si="173">VALUE(SUBSTITUTE(SUBSTITUTE(SUBSTITUTE(I168,"$",""),",",""),".",","))</f>
        <v>404.19</v>
      </c>
      <c r="O168" s="5">
        <f t="shared" si="136"/>
        <v>2020.95</v>
      </c>
    </row>
    <row r="169" spans="1:15" ht="12.5">
      <c r="A169" s="1" t="s">
        <v>756</v>
      </c>
      <c r="B169" s="4">
        <v>45744</v>
      </c>
      <c r="C169" s="1" t="s">
        <v>445</v>
      </c>
      <c r="D169" s="1" t="s">
        <v>24</v>
      </c>
      <c r="E169" s="1" t="s">
        <v>14</v>
      </c>
      <c r="F169" s="1" t="s">
        <v>15</v>
      </c>
      <c r="G169" s="1" t="s">
        <v>32</v>
      </c>
      <c r="H169" s="1">
        <v>50</v>
      </c>
      <c r="I169" s="1" t="s">
        <v>757</v>
      </c>
      <c r="J169" s="1" t="s">
        <v>758</v>
      </c>
      <c r="K169" s="1" t="str">
        <v>Pro Plan</v>
      </c>
      <c r="L169" s="1" t="str">
        <f t="shared" si="0"/>
        <v>Nina Petrov</v>
      </c>
      <c r="M169" s="1" t="str">
        <f t="shared" si="134"/>
        <v>LATAM</v>
      </c>
      <c r="N169" s="15">
        <f t="shared" ref="N169:O169" si="174">VALUE(SUBSTITUTE(SUBSTITUTE(SUBSTITUTE(I169,"$",""),",",""),".",","))</f>
        <v>201.51</v>
      </c>
      <c r="O169" s="5">
        <f t="shared" si="136"/>
        <v>10075.5</v>
      </c>
    </row>
    <row r="170" spans="1:15" ht="12.5">
      <c r="A170" s="1" t="s">
        <v>195</v>
      </c>
      <c r="B170" s="4">
        <v>45671</v>
      </c>
      <c r="C170" s="1" t="s">
        <v>196</v>
      </c>
      <c r="D170" s="1" t="s">
        <v>48</v>
      </c>
      <c r="E170" s="1" t="s">
        <v>62</v>
      </c>
      <c r="F170" s="1" t="s">
        <v>31</v>
      </c>
      <c r="G170" s="1" t="s">
        <v>39</v>
      </c>
      <c r="H170" s="1">
        <v>1</v>
      </c>
      <c r="I170" s="1" t="s">
        <v>197</v>
      </c>
      <c r="J170" s="1" t="s">
        <v>198</v>
      </c>
      <c r="K170" s="1" t="str">
        <v>Business Plan</v>
      </c>
      <c r="L170" s="1" t="str">
        <f t="shared" si="0"/>
        <v>David Kim</v>
      </c>
      <c r="M170" s="1" t="str">
        <f t="shared" si="134"/>
        <v>EMEA</v>
      </c>
      <c r="N170" s="15">
        <f t="shared" ref="N170:O170" si="175">VALUE(SUBSTITUTE(SUBSTITUTE(SUBSTITUTE(I170,"$",""),",",""),".",","))</f>
        <v>426.07</v>
      </c>
      <c r="O170" s="5">
        <f t="shared" si="136"/>
        <v>426.07</v>
      </c>
    </row>
    <row r="171" spans="1:15" ht="12.5">
      <c r="A171" s="1" t="s">
        <v>545</v>
      </c>
      <c r="B171" s="4">
        <v>45716</v>
      </c>
      <c r="C171" s="1" t="s">
        <v>66</v>
      </c>
      <c r="D171" s="1" t="s">
        <v>48</v>
      </c>
      <c r="E171" s="1" t="s">
        <v>25</v>
      </c>
      <c r="F171" s="1" t="s">
        <v>15</v>
      </c>
      <c r="G171" s="1" t="s">
        <v>32</v>
      </c>
      <c r="H171" s="1">
        <v>2</v>
      </c>
      <c r="I171" s="1" t="s">
        <v>546</v>
      </c>
      <c r="J171" s="1" t="s">
        <v>547</v>
      </c>
      <c r="K171" s="1" t="str">
        <v>Business Plan</v>
      </c>
      <c r="L171" s="1" t="str">
        <f t="shared" si="0"/>
        <v>Tom Wilson</v>
      </c>
      <c r="M171" s="1" t="str">
        <f t="shared" si="134"/>
        <v>LATAM</v>
      </c>
      <c r="N171" s="15">
        <f t="shared" ref="N171:O171" si="176">VALUE(SUBSTITUTE(SUBSTITUTE(SUBSTITUTE(I171,"$",""),",",""),".",","))</f>
        <v>447.2</v>
      </c>
      <c r="O171" s="5">
        <f t="shared" si="136"/>
        <v>894.4</v>
      </c>
    </row>
    <row r="172" spans="1:15" ht="12.5">
      <c r="A172" s="1" t="s">
        <v>549</v>
      </c>
      <c r="B172" s="4">
        <v>45716</v>
      </c>
      <c r="C172" s="1" t="s">
        <v>57</v>
      </c>
      <c r="D172" s="1" t="s">
        <v>13</v>
      </c>
      <c r="E172" s="1" t="s">
        <v>49</v>
      </c>
      <c r="F172" s="1" t="s">
        <v>50</v>
      </c>
      <c r="G172" s="1" t="s">
        <v>39</v>
      </c>
      <c r="H172" s="1">
        <v>1</v>
      </c>
      <c r="I172" s="1" t="s">
        <v>550</v>
      </c>
      <c r="J172" s="1" t="s">
        <v>551</v>
      </c>
      <c r="K172" s="1" t="str">
        <v>Starter Plan</v>
      </c>
      <c r="L172" s="1" t="str">
        <f t="shared" si="0"/>
        <v>James Park</v>
      </c>
      <c r="M172" s="1" t="str">
        <f t="shared" si="134"/>
        <v>EMEA</v>
      </c>
      <c r="N172" s="15">
        <f t="shared" ref="N172:O172" si="177">VALUE(SUBSTITUTE(SUBSTITUTE(SUBSTITUTE(I172,"$",""),",",""),".",","))</f>
        <v>41.17</v>
      </c>
      <c r="O172" s="5">
        <f t="shared" si="136"/>
        <v>41.17</v>
      </c>
    </row>
    <row r="173" spans="1:15" ht="12.5">
      <c r="A173" s="1" t="s">
        <v>229</v>
      </c>
      <c r="B173" s="4">
        <v>45674</v>
      </c>
      <c r="C173" s="1" t="s">
        <v>200</v>
      </c>
      <c r="D173" s="1" t="s">
        <v>117</v>
      </c>
      <c r="E173" s="1" t="s">
        <v>62</v>
      </c>
      <c r="F173" s="1" t="s">
        <v>31</v>
      </c>
      <c r="G173" s="1" t="s">
        <v>230</v>
      </c>
      <c r="H173" s="1">
        <v>10</v>
      </c>
      <c r="I173" s="1" t="s">
        <v>231</v>
      </c>
      <c r="J173" s="1" t="s">
        <v>232</v>
      </c>
      <c r="K173" s="1" t="str">
        <v>Add-on: Analytics</v>
      </c>
      <c r="L173" s="1" t="str">
        <f t="shared" si="0"/>
        <v>David Kim</v>
      </c>
      <c r="M173" s="1" t="str">
        <f t="shared" si="134"/>
        <v>North America</v>
      </c>
      <c r="N173" s="15">
        <f t="shared" ref="N173:O173" si="178">VALUE(SUBSTITUTE(SUBSTITUTE(SUBSTITUTE(I173,"$",""),",",""),".",","))</f>
        <v>82.73</v>
      </c>
      <c r="O173" s="5">
        <f t="shared" si="136"/>
        <v>827.30000000000007</v>
      </c>
    </row>
    <row r="174" spans="1:15" ht="12.5">
      <c r="A174" s="1" t="s">
        <v>664</v>
      </c>
      <c r="B174" s="4">
        <v>45731</v>
      </c>
      <c r="C174" s="1" t="s">
        <v>66</v>
      </c>
      <c r="D174" s="1" t="s">
        <v>24</v>
      </c>
      <c r="E174" s="1" t="s">
        <v>14</v>
      </c>
      <c r="F174" s="1" t="s">
        <v>15</v>
      </c>
      <c r="G174" s="1" t="s">
        <v>86</v>
      </c>
      <c r="H174" s="1">
        <v>2</v>
      </c>
      <c r="I174" s="1" t="s">
        <v>665</v>
      </c>
      <c r="J174" s="1" t="s">
        <v>666</v>
      </c>
      <c r="K174" s="1" t="str">
        <v>Pro Plan</v>
      </c>
      <c r="L174" s="1" t="str">
        <f t="shared" si="0"/>
        <v>Nina Petrov</v>
      </c>
      <c r="M174" s="1" t="str">
        <f t="shared" si="134"/>
        <v>APAC</v>
      </c>
      <c r="N174" s="15">
        <f t="shared" ref="N174:O174" si="179">VALUE(SUBSTITUTE(SUBSTITUTE(SUBSTITUTE(I174,"$",""),",",""),".",","))</f>
        <v>226.97</v>
      </c>
      <c r="O174" s="5">
        <f t="shared" si="136"/>
        <v>453.94</v>
      </c>
    </row>
    <row r="175" spans="1:15" ht="12.5">
      <c r="A175" s="1" t="s">
        <v>611</v>
      </c>
      <c r="B175" s="4">
        <v>45723</v>
      </c>
      <c r="C175" s="1" t="s">
        <v>42</v>
      </c>
      <c r="D175" s="1" t="s">
        <v>24</v>
      </c>
      <c r="E175" s="1" t="s">
        <v>14</v>
      </c>
      <c r="F175" s="1" t="s">
        <v>15</v>
      </c>
      <c r="G175" s="1" t="s">
        <v>39</v>
      </c>
      <c r="H175" s="1">
        <v>1</v>
      </c>
      <c r="I175" s="1" t="s">
        <v>612</v>
      </c>
      <c r="J175" s="1" t="s">
        <v>612</v>
      </c>
      <c r="K175" s="1" t="str">
        <v>Pro Plan</v>
      </c>
      <c r="L175" s="1" t="str">
        <f t="shared" si="0"/>
        <v>Nina Petrov</v>
      </c>
      <c r="M175" s="1" t="str">
        <f t="shared" si="134"/>
        <v>EMEA</v>
      </c>
      <c r="N175" s="15">
        <f t="shared" ref="N175:O175" si="180">VALUE(SUBSTITUTE(SUBSTITUTE(SUBSTITUTE(I175,"$",""),",",""),".",","))</f>
        <v>153.63999999999999</v>
      </c>
      <c r="O175" s="5">
        <f t="shared" si="136"/>
        <v>153.63999999999999</v>
      </c>
    </row>
    <row r="176" spans="1:15" ht="12.5">
      <c r="A176" s="1" t="s">
        <v>487</v>
      </c>
      <c r="B176" s="4">
        <v>45709</v>
      </c>
      <c r="C176" s="1" t="s">
        <v>122</v>
      </c>
      <c r="D176" s="1" t="s">
        <v>13</v>
      </c>
      <c r="E176" s="1" t="s">
        <v>30</v>
      </c>
      <c r="F176" s="1" t="s">
        <v>31</v>
      </c>
      <c r="G176" s="1" t="s">
        <v>82</v>
      </c>
      <c r="H176" s="1">
        <v>1</v>
      </c>
      <c r="I176" s="1" t="s">
        <v>488</v>
      </c>
      <c r="J176" s="1" t="s">
        <v>488</v>
      </c>
      <c r="K176" s="1" t="str">
        <v>Starter Plan</v>
      </c>
      <c r="L176" s="1" t="str">
        <f t="shared" si="0"/>
        <v>Marcus Johnson</v>
      </c>
      <c r="M176" s="1" t="str">
        <f t="shared" si="134"/>
        <v>LATAM</v>
      </c>
      <c r="N176" s="15">
        <f t="shared" ref="N176:O176" si="181">VALUE(SUBSTITUTE(SUBSTITUTE(SUBSTITUTE(I176,"$",""),",",""),".",","))</f>
        <v>60.23</v>
      </c>
      <c r="O176" s="5">
        <f t="shared" si="136"/>
        <v>60.23</v>
      </c>
    </row>
    <row r="177" spans="1:15" ht="12.5">
      <c r="A177" s="1" t="s">
        <v>683</v>
      </c>
      <c r="B177" s="4">
        <v>45733</v>
      </c>
      <c r="C177" s="1" t="s">
        <v>57</v>
      </c>
      <c r="D177" s="1" t="s">
        <v>37</v>
      </c>
      <c r="E177" s="1" t="s">
        <v>96</v>
      </c>
      <c r="F177" s="1" t="s">
        <v>50</v>
      </c>
      <c r="G177" s="1" t="s">
        <v>32</v>
      </c>
      <c r="H177" s="1">
        <v>1</v>
      </c>
      <c r="I177" s="1" t="s">
        <v>684</v>
      </c>
      <c r="J177" s="1" t="s">
        <v>684</v>
      </c>
      <c r="K177" s="1" t="str">
        <v>Add-on: Support</v>
      </c>
      <c r="L177" s="1" t="str">
        <f t="shared" si="0"/>
        <v>Hannah Lee</v>
      </c>
      <c r="M177" s="1" t="str">
        <f t="shared" si="134"/>
        <v>LATAM</v>
      </c>
      <c r="N177" s="15">
        <f t="shared" ref="N177:O177" si="182">VALUE(SUBSTITUTE(SUBSTITUTE(SUBSTITUTE(I177,"$",""),",",""),".",","))</f>
        <v>120.48</v>
      </c>
      <c r="O177" s="5">
        <f t="shared" si="136"/>
        <v>120.48</v>
      </c>
    </row>
    <row r="178" spans="1:15" ht="12.5">
      <c r="A178" s="1" t="s">
        <v>739</v>
      </c>
      <c r="B178" s="4">
        <v>45740</v>
      </c>
      <c r="C178" s="1" t="s">
        <v>106</v>
      </c>
      <c r="D178" s="1" t="s">
        <v>13</v>
      </c>
      <c r="E178" s="1" t="s">
        <v>14</v>
      </c>
      <c r="F178" s="1" t="s">
        <v>15</v>
      </c>
      <c r="G178" s="1" t="s">
        <v>71</v>
      </c>
      <c r="H178" s="1">
        <v>1</v>
      </c>
      <c r="I178" s="1" t="s">
        <v>740</v>
      </c>
      <c r="J178" s="1" t="s">
        <v>741</v>
      </c>
      <c r="K178" s="1" t="str">
        <v>Starter Plan</v>
      </c>
      <c r="L178" s="1" t="str">
        <f t="shared" si="0"/>
        <v>Nina Petrov</v>
      </c>
      <c r="M178" s="1" t="str">
        <f t="shared" si="134"/>
        <v>APAC</v>
      </c>
      <c r="N178" s="15">
        <f t="shared" ref="N178:O178" si="183">VALUE(SUBSTITUTE(SUBSTITUTE(SUBSTITUTE(I178,"$",""),",",""),".",","))</f>
        <v>67.099999999999994</v>
      </c>
      <c r="O178" s="5">
        <f t="shared" si="136"/>
        <v>67.099999999999994</v>
      </c>
    </row>
    <row r="179" spans="1:15" ht="12.5">
      <c r="A179" s="1" t="s">
        <v>354</v>
      </c>
      <c r="B179" s="4">
        <v>45687</v>
      </c>
      <c r="C179" s="1" t="s">
        <v>326</v>
      </c>
      <c r="D179" s="1" t="s">
        <v>58</v>
      </c>
      <c r="E179" s="1" t="s">
        <v>30</v>
      </c>
      <c r="F179" s="1" t="s">
        <v>31</v>
      </c>
      <c r="G179" s="1" t="s">
        <v>39</v>
      </c>
      <c r="H179" s="1">
        <v>20</v>
      </c>
      <c r="I179" s="1" t="s">
        <v>355</v>
      </c>
      <c r="J179" s="1" t="s">
        <v>356</v>
      </c>
      <c r="K179" s="1" t="str">
        <v>Enterprise Plan</v>
      </c>
      <c r="L179" s="1" t="str">
        <f t="shared" si="0"/>
        <v>Marcus Johnson</v>
      </c>
      <c r="M179" s="1" t="str">
        <f t="shared" si="134"/>
        <v>EMEA</v>
      </c>
      <c r="N179" s="15">
        <f t="shared" ref="N179:O179" si="184">VALUE(SUBSTITUTE(SUBSTITUTE(SUBSTITUTE(I179,"$",""),",",""),".",","))</f>
        <v>1004.37</v>
      </c>
      <c r="O179" s="5">
        <f t="shared" si="136"/>
        <v>20087.400000000001</v>
      </c>
    </row>
    <row r="180" spans="1:15" ht="12.5">
      <c r="A180" s="1" t="s">
        <v>569</v>
      </c>
      <c r="B180" s="4">
        <v>45717</v>
      </c>
      <c r="C180" s="1" t="s">
        <v>70</v>
      </c>
      <c r="D180" s="1" t="s">
        <v>58</v>
      </c>
      <c r="E180" s="1" t="s">
        <v>14</v>
      </c>
      <c r="F180" s="1" t="s">
        <v>15</v>
      </c>
      <c r="G180" s="1" t="s">
        <v>32</v>
      </c>
      <c r="H180" s="1">
        <v>1</v>
      </c>
      <c r="I180" s="1" t="s">
        <v>571</v>
      </c>
      <c r="J180" s="1" t="s">
        <v>571</v>
      </c>
      <c r="K180" s="1" t="str">
        <v>Enterprise Plan</v>
      </c>
      <c r="L180" s="1" t="str">
        <f t="shared" si="0"/>
        <v>Nina Petrov</v>
      </c>
      <c r="M180" s="1" t="str">
        <f t="shared" si="134"/>
        <v>LATAM</v>
      </c>
      <c r="N180" s="15">
        <f t="shared" ref="N180:O180" si="185">VALUE(SUBSTITUTE(SUBSTITUTE(SUBSTITUTE(I180,"$",""),",",""),".",","))</f>
        <v>1309.46</v>
      </c>
      <c r="O180" s="5">
        <f t="shared" si="136"/>
        <v>1309.46</v>
      </c>
    </row>
    <row r="181" spans="1:15" ht="12.5">
      <c r="A181" s="1" t="s">
        <v>162</v>
      </c>
      <c r="B181" s="4">
        <v>45668</v>
      </c>
      <c r="C181" s="1" t="s">
        <v>100</v>
      </c>
      <c r="D181" s="1" t="s">
        <v>117</v>
      </c>
      <c r="E181" s="1" t="s">
        <v>163</v>
      </c>
      <c r="F181" s="1" t="s">
        <v>50</v>
      </c>
      <c r="G181" s="1" t="s">
        <v>86</v>
      </c>
      <c r="H181" s="1">
        <v>1</v>
      </c>
      <c r="I181" s="1" t="s">
        <v>164</v>
      </c>
      <c r="J181" s="1" t="s">
        <v>164</v>
      </c>
      <c r="K181" s="1" t="str">
        <v>Add-on: Analytics</v>
      </c>
      <c r="L181" s="1" t="str">
        <f t="shared" si="0"/>
        <v>Raj Sharma</v>
      </c>
      <c r="M181" s="1" t="str">
        <f t="shared" si="134"/>
        <v>APAC</v>
      </c>
      <c r="N181" s="15">
        <f t="shared" ref="N181:O181" si="186">VALUE(SUBSTITUTE(SUBSTITUTE(SUBSTITUTE(I181,"$",""),",",""),".",","))</f>
        <v>95.39</v>
      </c>
      <c r="O181" s="5">
        <f t="shared" si="136"/>
        <v>95.39</v>
      </c>
    </row>
    <row r="182" spans="1:15" ht="12.5">
      <c r="A182" s="1" t="s">
        <v>409</v>
      </c>
      <c r="B182" s="4">
        <v>45696</v>
      </c>
      <c r="C182" s="1" t="s">
        <v>57</v>
      </c>
      <c r="D182" s="1" t="s">
        <v>24</v>
      </c>
      <c r="E182" s="1" t="s">
        <v>51</v>
      </c>
      <c r="F182" s="1" t="s">
        <v>52</v>
      </c>
      <c r="G182" s="1" t="s">
        <v>39</v>
      </c>
      <c r="H182" s="1">
        <v>1</v>
      </c>
      <c r="I182" s="1" t="s">
        <v>411</v>
      </c>
      <c r="J182" s="1" t="s">
        <v>412</v>
      </c>
      <c r="K182" s="1" t="str">
        <v>Pro Plan</v>
      </c>
      <c r="L182" s="1" t="str">
        <f t="shared" si="0"/>
        <v>Priya Patel</v>
      </c>
      <c r="M182" s="1" t="str">
        <f t="shared" si="134"/>
        <v>EMEA</v>
      </c>
      <c r="N182" s="15">
        <f t="shared" ref="N182:O182" si="187">VALUE(SUBSTITUTE(SUBSTITUTE(SUBSTITUTE(I182,"$",""),",",""),".",","))</f>
        <v>235.36</v>
      </c>
      <c r="O182" s="5">
        <f t="shared" si="136"/>
        <v>235.36</v>
      </c>
    </row>
    <row r="183" spans="1:15" ht="12.5">
      <c r="A183" s="1" t="s">
        <v>240</v>
      </c>
      <c r="B183" s="4">
        <v>45676</v>
      </c>
      <c r="C183" s="1" t="s">
        <v>222</v>
      </c>
      <c r="D183" s="1" t="s">
        <v>13</v>
      </c>
      <c r="E183" s="1" t="s">
        <v>96</v>
      </c>
      <c r="F183" s="1" t="s">
        <v>50</v>
      </c>
      <c r="G183" s="1" t="s">
        <v>17</v>
      </c>
      <c r="H183" s="1">
        <v>10</v>
      </c>
      <c r="I183" s="1" t="s">
        <v>241</v>
      </c>
      <c r="J183" s="1" t="s">
        <v>242</v>
      </c>
      <c r="K183" s="1" t="str">
        <v>Starter Plan</v>
      </c>
      <c r="L183" s="1" t="str">
        <f t="shared" si="0"/>
        <v>Hannah Lee</v>
      </c>
      <c r="M183" s="1" t="str">
        <f t="shared" si="134"/>
        <v>North America</v>
      </c>
      <c r="N183" s="15">
        <f t="shared" ref="N183:O183" si="188">VALUE(SUBSTITUTE(SUBSTITUTE(SUBSTITUTE(I183,"$",""),",",""),".",","))</f>
        <v>71.39</v>
      </c>
      <c r="O183" s="5">
        <f t="shared" si="136"/>
        <v>713.9</v>
      </c>
    </row>
    <row r="184" spans="1:15" ht="12.5">
      <c r="A184" s="1" t="s">
        <v>655</v>
      </c>
      <c r="B184" s="4">
        <v>45729</v>
      </c>
      <c r="C184" s="1" t="s">
        <v>159</v>
      </c>
      <c r="D184" s="1" t="s">
        <v>13</v>
      </c>
      <c r="E184" s="1" t="s">
        <v>178</v>
      </c>
      <c r="F184" s="1" t="s">
        <v>31</v>
      </c>
      <c r="G184" s="1" t="s">
        <v>17</v>
      </c>
      <c r="H184" s="1">
        <v>2</v>
      </c>
      <c r="I184" s="1" t="s">
        <v>656</v>
      </c>
      <c r="J184" s="1" t="s">
        <v>657</v>
      </c>
      <c r="K184" s="1" t="str">
        <v>Starter Plan</v>
      </c>
      <c r="L184" s="1" t="str">
        <f t="shared" si="0"/>
        <v>Aisha Hassan</v>
      </c>
      <c r="M184" s="1" t="str">
        <f t="shared" si="134"/>
        <v>North America</v>
      </c>
      <c r="N184" s="15">
        <f t="shared" ref="N184:O184" si="189">VALUE(SUBSTITUTE(SUBSTITUTE(SUBSTITUTE(I184,"$",""),",",""),".",","))</f>
        <v>58.93</v>
      </c>
      <c r="O184" s="5">
        <f t="shared" si="136"/>
        <v>117.86</v>
      </c>
    </row>
    <row r="185" spans="1:15" ht="12.5">
      <c r="A185" s="1" t="s">
        <v>537</v>
      </c>
      <c r="B185" s="4">
        <v>45715</v>
      </c>
      <c r="C185" s="1" t="s">
        <v>186</v>
      </c>
      <c r="D185" s="1" t="s">
        <v>24</v>
      </c>
      <c r="E185" s="1" t="s">
        <v>96</v>
      </c>
      <c r="F185" s="1" t="s">
        <v>50</v>
      </c>
      <c r="G185" s="1" t="s">
        <v>71</v>
      </c>
      <c r="H185" s="1">
        <v>5</v>
      </c>
      <c r="I185" s="1" t="s">
        <v>538</v>
      </c>
      <c r="J185" s="1" t="s">
        <v>539</v>
      </c>
      <c r="K185" s="1" t="str">
        <v>Pro Plan</v>
      </c>
      <c r="L185" s="1" t="str">
        <f t="shared" si="0"/>
        <v>Hannah Lee</v>
      </c>
      <c r="M185" s="1" t="str">
        <f t="shared" si="134"/>
        <v>APAC</v>
      </c>
      <c r="N185" s="15">
        <f t="shared" ref="N185:O185" si="190">VALUE(SUBSTITUTE(SUBSTITUTE(SUBSTITUTE(I185,"$",""),",",""),".",","))</f>
        <v>259.85000000000002</v>
      </c>
      <c r="O185" s="5">
        <f t="shared" si="136"/>
        <v>1299.25</v>
      </c>
    </row>
    <row r="186" spans="1:15" ht="12.5">
      <c r="A186" s="1" t="s">
        <v>773</v>
      </c>
      <c r="B186" s="4">
        <v>45746</v>
      </c>
      <c r="C186" s="1" t="s">
        <v>445</v>
      </c>
      <c r="D186" s="1" t="s">
        <v>13</v>
      </c>
      <c r="E186" s="1" t="s">
        <v>30</v>
      </c>
      <c r="F186" s="1" t="s">
        <v>31</v>
      </c>
      <c r="G186" s="1" t="s">
        <v>39</v>
      </c>
      <c r="H186" s="1">
        <v>2</v>
      </c>
      <c r="I186" s="1" t="s">
        <v>774</v>
      </c>
      <c r="J186" s="1" t="s">
        <v>775</v>
      </c>
      <c r="K186" s="1" t="str">
        <v>Starter Plan</v>
      </c>
      <c r="L186" s="1" t="str">
        <f t="shared" si="0"/>
        <v>Marcus Johnson</v>
      </c>
      <c r="M186" s="1" t="str">
        <f t="shared" si="134"/>
        <v>EMEA</v>
      </c>
      <c r="N186" s="15">
        <f t="shared" ref="N186:O186" si="191">VALUE(SUBSTITUTE(SUBSTITUTE(SUBSTITUTE(I186,"$",""),",",""),".",","))</f>
        <v>75.290000000000006</v>
      </c>
      <c r="O186" s="5">
        <f t="shared" si="136"/>
        <v>150.58000000000001</v>
      </c>
    </row>
    <row r="187" spans="1:15" ht="12.5">
      <c r="A187" s="1" t="s">
        <v>759</v>
      </c>
      <c r="B187" s="4">
        <v>45744</v>
      </c>
      <c r="C187" s="1" t="s">
        <v>146</v>
      </c>
      <c r="D187" s="1" t="s">
        <v>13</v>
      </c>
      <c r="E187" s="1" t="s">
        <v>51</v>
      </c>
      <c r="F187" s="1" t="s">
        <v>52</v>
      </c>
      <c r="G187" s="1" t="s">
        <v>71</v>
      </c>
      <c r="H187" s="1">
        <v>1</v>
      </c>
      <c r="I187" s="1" t="s">
        <v>760</v>
      </c>
      <c r="J187" s="1" t="s">
        <v>760</v>
      </c>
      <c r="K187" s="1" t="str">
        <v>Starter Plan</v>
      </c>
      <c r="L187" s="1" t="str">
        <f t="shared" si="0"/>
        <v>Priya Patel</v>
      </c>
      <c r="M187" s="1" t="str">
        <f t="shared" si="134"/>
        <v>APAC</v>
      </c>
      <c r="N187" s="15">
        <f t="shared" ref="N187:O187" si="192">VALUE(SUBSTITUTE(SUBSTITUTE(SUBSTITUTE(I187,"$",""),",",""),".",","))</f>
        <v>59.63</v>
      </c>
      <c r="O187" s="5">
        <f t="shared" si="136"/>
        <v>59.63</v>
      </c>
    </row>
    <row r="188" spans="1:15" ht="12.5">
      <c r="A188" s="1" t="s">
        <v>171</v>
      </c>
      <c r="B188" s="4">
        <v>45669</v>
      </c>
      <c r="C188" s="1" t="s">
        <v>122</v>
      </c>
      <c r="D188" s="1" t="s">
        <v>24</v>
      </c>
      <c r="E188" s="1" t="s">
        <v>107</v>
      </c>
      <c r="F188" s="1" t="s">
        <v>52</v>
      </c>
      <c r="G188" s="1" t="s">
        <v>17</v>
      </c>
      <c r="H188" s="1">
        <v>2</v>
      </c>
      <c r="I188" s="1" t="s">
        <v>172</v>
      </c>
      <c r="J188" s="1" t="s">
        <v>173</v>
      </c>
      <c r="K188" s="1" t="str">
        <v>Pro Plan</v>
      </c>
      <c r="L188" s="1" t="str">
        <f t="shared" si="0"/>
        <v>Sophie Laurent</v>
      </c>
      <c r="M188" s="1" t="str">
        <f t="shared" si="134"/>
        <v>North America</v>
      </c>
      <c r="N188" s="15">
        <f t="shared" ref="N188:O188" si="193">VALUE(SUBSTITUTE(SUBSTITUTE(SUBSTITUTE(I188,"$",""),",",""),".",","))</f>
        <v>251.17</v>
      </c>
      <c r="O188" s="5">
        <f t="shared" si="136"/>
        <v>502.34</v>
      </c>
    </row>
    <row r="189" spans="1:15" ht="12.5">
      <c r="A189" s="1" t="s">
        <v>742</v>
      </c>
      <c r="B189" s="4">
        <v>45740</v>
      </c>
      <c r="C189" s="1" t="s">
        <v>42</v>
      </c>
      <c r="D189" s="1" t="s">
        <v>24</v>
      </c>
      <c r="E189" s="1" t="s">
        <v>67</v>
      </c>
      <c r="F189" s="1" t="s">
        <v>52</v>
      </c>
      <c r="G189" s="1" t="s">
        <v>32</v>
      </c>
      <c r="H189" s="1">
        <v>1</v>
      </c>
      <c r="I189" s="1" t="s">
        <v>743</v>
      </c>
      <c r="J189" s="1" t="s">
        <v>743</v>
      </c>
      <c r="K189" s="1" t="str">
        <v>Pro Plan</v>
      </c>
      <c r="L189" s="1" t="str">
        <f t="shared" si="0"/>
        <v>Carlos Mendez</v>
      </c>
      <c r="M189" s="1" t="str">
        <f t="shared" si="134"/>
        <v>LATAM</v>
      </c>
      <c r="N189" s="15">
        <f t="shared" ref="N189:O189" si="194">VALUE(SUBSTITUTE(SUBSTITUTE(SUBSTITUTE(I189,"$",""),",",""),".",","))</f>
        <v>187.23</v>
      </c>
      <c r="O189" s="5">
        <f t="shared" si="136"/>
        <v>187.23</v>
      </c>
    </row>
    <row r="190" spans="1:15" ht="12.5">
      <c r="A190" s="1" t="s">
        <v>746</v>
      </c>
      <c r="B190" s="4">
        <v>45742</v>
      </c>
      <c r="C190" s="1" t="s">
        <v>46</v>
      </c>
      <c r="D190" s="1" t="s">
        <v>13</v>
      </c>
      <c r="E190" s="1" t="s">
        <v>51</v>
      </c>
      <c r="F190" s="1" t="s">
        <v>52</v>
      </c>
      <c r="G190" s="1" t="s">
        <v>39</v>
      </c>
      <c r="H190" s="1">
        <v>1</v>
      </c>
      <c r="I190" s="1" t="s">
        <v>747</v>
      </c>
      <c r="J190" s="1" t="s">
        <v>748</v>
      </c>
      <c r="K190" s="1" t="str">
        <v>Starter Plan</v>
      </c>
      <c r="L190" s="1" t="str">
        <f t="shared" si="0"/>
        <v>Priya Patel</v>
      </c>
      <c r="M190" s="1" t="str">
        <f t="shared" si="134"/>
        <v>EMEA</v>
      </c>
      <c r="N190" s="15">
        <f t="shared" ref="N190:O190" si="195">VALUE(SUBSTITUTE(SUBSTITUTE(SUBSTITUTE(I190,"$",""),",",""),".",","))</f>
        <v>66.010000000000005</v>
      </c>
      <c r="O190" s="5">
        <f t="shared" si="136"/>
        <v>66.010000000000005</v>
      </c>
    </row>
    <row r="191" spans="1:15" ht="12.5">
      <c r="A191" s="1" t="s">
        <v>313</v>
      </c>
      <c r="B191" s="4">
        <v>45683</v>
      </c>
      <c r="C191" s="1" t="s">
        <v>315</v>
      </c>
      <c r="D191" s="1" t="s">
        <v>24</v>
      </c>
      <c r="E191" s="1" t="s">
        <v>51</v>
      </c>
      <c r="F191" s="1" t="s">
        <v>52</v>
      </c>
      <c r="G191" s="1" t="s">
        <v>230</v>
      </c>
      <c r="H191" s="1">
        <v>5</v>
      </c>
      <c r="I191" s="1" t="s">
        <v>316</v>
      </c>
      <c r="J191" s="1" t="s">
        <v>317</v>
      </c>
      <c r="K191" s="1" t="str">
        <v>Pro Plan</v>
      </c>
      <c r="L191" s="1" t="str">
        <f t="shared" si="0"/>
        <v>Priya Patel</v>
      </c>
      <c r="M191" s="1" t="str">
        <f t="shared" si="134"/>
        <v>North America</v>
      </c>
      <c r="N191" s="15">
        <f t="shared" ref="N191:O191" si="196">VALUE(SUBSTITUTE(SUBSTITUTE(SUBSTITUTE(I191,"$",""),",",""),".",","))</f>
        <v>154.79</v>
      </c>
      <c r="O191" s="5">
        <f t="shared" si="136"/>
        <v>773.94999999999993</v>
      </c>
    </row>
    <row r="192" spans="1:15" ht="12.5">
      <c r="A192" s="1" t="s">
        <v>428</v>
      </c>
      <c r="B192" s="4">
        <v>45699</v>
      </c>
      <c r="C192" s="1" t="s">
        <v>66</v>
      </c>
      <c r="D192" s="1" t="s">
        <v>117</v>
      </c>
      <c r="E192" s="1" t="s">
        <v>67</v>
      </c>
      <c r="F192" s="1" t="s">
        <v>52</v>
      </c>
      <c r="G192" s="1" t="s">
        <v>32</v>
      </c>
      <c r="H192" s="1">
        <v>1</v>
      </c>
      <c r="I192" s="1" t="s">
        <v>429</v>
      </c>
      <c r="J192" s="1" t="s">
        <v>430</v>
      </c>
      <c r="K192" s="1" t="str">
        <v>Add-on: Analytics</v>
      </c>
      <c r="L192" s="1" t="str">
        <f t="shared" si="0"/>
        <v>Carlos Mendez</v>
      </c>
      <c r="M192" s="1" t="str">
        <f t="shared" si="134"/>
        <v>LATAM</v>
      </c>
      <c r="N192" s="15">
        <f t="shared" ref="N192:O192" si="197">VALUE(SUBSTITUTE(SUBSTITUTE(SUBSTITUTE(I192,"$",""),",",""),".",","))</f>
        <v>78.92</v>
      </c>
      <c r="O192" s="5">
        <f t="shared" si="136"/>
        <v>78.92</v>
      </c>
    </row>
    <row r="193" spans="1:15" ht="12.5">
      <c r="A193" s="1" t="s">
        <v>721</v>
      </c>
      <c r="B193" s="4">
        <v>45737</v>
      </c>
      <c r="C193" s="1" t="s">
        <v>159</v>
      </c>
      <c r="D193" s="1" t="s">
        <v>24</v>
      </c>
      <c r="E193" s="1" t="s">
        <v>178</v>
      </c>
      <c r="F193" s="1" t="s">
        <v>31</v>
      </c>
      <c r="G193" s="1" t="s">
        <v>71</v>
      </c>
      <c r="H193" s="1">
        <v>2</v>
      </c>
      <c r="I193" s="1" t="s">
        <v>722</v>
      </c>
      <c r="J193" s="1" t="s">
        <v>723</v>
      </c>
      <c r="K193" s="1" t="str">
        <v>Pro Plan</v>
      </c>
      <c r="L193" s="1" t="str">
        <f t="shared" si="0"/>
        <v>Aisha Hassan</v>
      </c>
      <c r="M193" s="1" t="str">
        <f t="shared" si="134"/>
        <v>APAC</v>
      </c>
      <c r="N193" s="15">
        <f t="shared" ref="N193:O193" si="198">VALUE(SUBSTITUTE(SUBSTITUTE(SUBSTITUTE(I193,"$",""),",",""),".",","))</f>
        <v>218.98</v>
      </c>
      <c r="O193" s="5">
        <f t="shared" si="136"/>
        <v>437.96</v>
      </c>
    </row>
    <row r="194" spans="1:15" ht="12.5">
      <c r="A194" s="1" t="s">
        <v>671</v>
      </c>
      <c r="B194" s="4">
        <v>45732</v>
      </c>
      <c r="C194" s="1" t="s">
        <v>435</v>
      </c>
      <c r="D194" s="1" t="s">
        <v>37</v>
      </c>
      <c r="E194" s="1" t="s">
        <v>96</v>
      </c>
      <c r="F194" s="1" t="s">
        <v>50</v>
      </c>
      <c r="G194" s="1" t="s">
        <v>32</v>
      </c>
      <c r="H194" s="1">
        <v>20</v>
      </c>
      <c r="I194" s="1" t="s">
        <v>672</v>
      </c>
      <c r="J194" s="1" t="s">
        <v>673</v>
      </c>
      <c r="K194" s="1" t="str">
        <v>Add-on: Support</v>
      </c>
      <c r="L194" s="1" t="str">
        <f t="shared" si="0"/>
        <v>Hannah Lee</v>
      </c>
      <c r="M194" s="1" t="str">
        <f t="shared" si="134"/>
        <v>LATAM</v>
      </c>
      <c r="N194" s="15">
        <f t="shared" ref="N194:O194" si="199">VALUE(SUBSTITUTE(SUBSTITUTE(SUBSTITUTE(I194,"$",""),",",""),".",","))</f>
        <v>81.95</v>
      </c>
      <c r="O194" s="5">
        <f t="shared" si="136"/>
        <v>1639</v>
      </c>
    </row>
    <row r="195" spans="1:15" ht="12.5">
      <c r="A195" s="1" t="s">
        <v>105</v>
      </c>
      <c r="B195" s="4">
        <v>45662</v>
      </c>
      <c r="C195" s="1" t="s">
        <v>106</v>
      </c>
      <c r="D195" s="1" t="s">
        <v>24</v>
      </c>
      <c r="E195" s="1" t="s">
        <v>107</v>
      </c>
      <c r="F195" s="1" t="s">
        <v>52</v>
      </c>
      <c r="G195" s="1" t="s">
        <v>17</v>
      </c>
      <c r="H195" s="1">
        <v>2</v>
      </c>
      <c r="I195" s="1" t="s">
        <v>109</v>
      </c>
      <c r="J195" s="1" t="s">
        <v>110</v>
      </c>
      <c r="K195" s="1" t="str">
        <v>Pro Plan</v>
      </c>
      <c r="L195" s="1" t="str">
        <f t="shared" si="0"/>
        <v>Sophie Laurent</v>
      </c>
      <c r="M195" s="1" t="str">
        <f t="shared" ref="M195:M258" si="200">IF(G195="","",IF(LOWER(TRIM(G195))="north america","North America",IF(LOWER(TRIM(G195))="emea","EMEA",IF(LOWER(TRIM(G195))="apac","APAC",IF(LOWER(TRIM(G195))="latam","LATAM",TRIM(G195))))))</f>
        <v>North America</v>
      </c>
      <c r="N195" s="15">
        <f t="shared" ref="N195:O195" si="201">VALUE(SUBSTITUTE(SUBSTITUTE(SUBSTITUTE(I195,"$",""),",",""),".",","))</f>
        <v>193.5</v>
      </c>
      <c r="O195" s="5">
        <f t="shared" ref="O195:O258" si="202">IF(OR(H195="",N195=""),"",H195*N195)</f>
        <v>387</v>
      </c>
    </row>
    <row r="196" spans="1:15" ht="12.5">
      <c r="A196" s="1" t="s">
        <v>454</v>
      </c>
      <c r="B196" s="4">
        <v>45706</v>
      </c>
      <c r="C196" s="1" t="s">
        <v>435</v>
      </c>
      <c r="D196" s="1" t="s">
        <v>24</v>
      </c>
      <c r="E196" s="1" t="s">
        <v>163</v>
      </c>
      <c r="F196" s="1" t="s">
        <v>50</v>
      </c>
      <c r="G196" s="1" t="s">
        <v>17</v>
      </c>
      <c r="H196" s="1">
        <v>20</v>
      </c>
      <c r="I196" s="1" t="s">
        <v>455</v>
      </c>
      <c r="J196" s="1" t="s">
        <v>456</v>
      </c>
      <c r="K196" s="1" t="str">
        <v>Pro Plan</v>
      </c>
      <c r="L196" s="1" t="str">
        <f t="shared" si="0"/>
        <v>Raj Sharma</v>
      </c>
      <c r="M196" s="1" t="str">
        <f t="shared" si="200"/>
        <v>North America</v>
      </c>
      <c r="N196" s="15">
        <f t="shared" ref="N196:O196" si="203">VALUE(SUBSTITUTE(SUBSTITUTE(SUBSTITUTE(I196,"$",""),",",""),".",","))</f>
        <v>288.10000000000002</v>
      </c>
      <c r="O196" s="5">
        <f t="shared" si="202"/>
        <v>5762</v>
      </c>
    </row>
    <row r="197" spans="1:15" ht="12.5">
      <c r="A197" s="1" t="s">
        <v>685</v>
      </c>
      <c r="B197" s="4">
        <v>45733</v>
      </c>
      <c r="C197" s="1" t="s">
        <v>196</v>
      </c>
      <c r="D197" s="1" t="s">
        <v>13</v>
      </c>
      <c r="E197" s="1" t="s">
        <v>51</v>
      </c>
      <c r="F197" s="1" t="s">
        <v>52</v>
      </c>
      <c r="G197" s="1" t="s">
        <v>17</v>
      </c>
      <c r="H197" s="1">
        <v>2</v>
      </c>
      <c r="I197" s="1" t="s">
        <v>686</v>
      </c>
      <c r="J197" s="1" t="s">
        <v>687</v>
      </c>
      <c r="K197" s="1" t="str">
        <v>Starter Plan</v>
      </c>
      <c r="L197" s="1" t="str">
        <f t="shared" si="0"/>
        <v>Priya Patel</v>
      </c>
      <c r="M197" s="1" t="str">
        <f t="shared" si="200"/>
        <v>North America</v>
      </c>
      <c r="N197" s="15">
        <f t="shared" ref="N197:O197" si="204">VALUE(SUBSTITUTE(SUBSTITUTE(SUBSTITUTE(I197,"$",""),",",""),".",","))</f>
        <v>62.77</v>
      </c>
      <c r="O197" s="5">
        <f t="shared" si="202"/>
        <v>125.54</v>
      </c>
    </row>
    <row r="198" spans="1:15" ht="12.5">
      <c r="A198" s="1" t="s">
        <v>256</v>
      </c>
      <c r="B198" s="4">
        <v>45677</v>
      </c>
      <c r="C198" s="1" t="s">
        <v>92</v>
      </c>
      <c r="D198" s="1" t="s">
        <v>13</v>
      </c>
      <c r="E198" s="1" t="s">
        <v>25</v>
      </c>
      <c r="F198" s="1" t="s">
        <v>15</v>
      </c>
      <c r="G198" s="1" t="s">
        <v>32</v>
      </c>
      <c r="H198" s="1">
        <v>20</v>
      </c>
      <c r="I198" s="1" t="s">
        <v>257</v>
      </c>
      <c r="J198" s="1" t="s">
        <v>258</v>
      </c>
      <c r="K198" s="1" t="str">
        <v>Starter Plan</v>
      </c>
      <c r="L198" s="1" t="str">
        <f t="shared" si="0"/>
        <v>Tom Wilson</v>
      </c>
      <c r="M198" s="1" t="str">
        <f t="shared" si="200"/>
        <v>LATAM</v>
      </c>
      <c r="N198" s="15">
        <f t="shared" ref="N198:O198" si="205">VALUE(SUBSTITUTE(SUBSTITUTE(SUBSTITUTE(I198,"$",""),",",""),".",","))</f>
        <v>59.94</v>
      </c>
      <c r="O198" s="5">
        <f t="shared" si="202"/>
        <v>1198.8</v>
      </c>
    </row>
    <row r="199" spans="1:15" ht="12.5">
      <c r="A199" s="1" t="s">
        <v>204</v>
      </c>
      <c r="B199" s="4">
        <v>45672</v>
      </c>
      <c r="C199" s="1" t="s">
        <v>142</v>
      </c>
      <c r="D199" s="1" t="s">
        <v>48</v>
      </c>
      <c r="E199" s="1" t="s">
        <v>178</v>
      </c>
      <c r="F199" s="1" t="s">
        <v>31</v>
      </c>
      <c r="G199" s="1" t="s">
        <v>205</v>
      </c>
      <c r="H199" s="1">
        <v>1</v>
      </c>
      <c r="I199" s="1" t="s">
        <v>206</v>
      </c>
      <c r="J199" s="1" t="s">
        <v>206</v>
      </c>
      <c r="K199" s="1" t="str">
        <v>Business Plan</v>
      </c>
      <c r="L199" s="1" t="str">
        <f t="shared" si="0"/>
        <v>Aisha Hassan</v>
      </c>
      <c r="M199" s="1" t="str">
        <f t="shared" si="200"/>
        <v>EMEA</v>
      </c>
      <c r="N199" s="15">
        <f t="shared" ref="N199:O199" si="206">VALUE(SUBSTITUTE(SUBSTITUTE(SUBSTITUTE(I199,"$",""),",",""),".",","))</f>
        <v>420.94</v>
      </c>
      <c r="O199" s="5">
        <f t="shared" si="202"/>
        <v>420.94</v>
      </c>
    </row>
    <row r="200" spans="1:15" ht="12.5">
      <c r="A200" s="1" t="s">
        <v>343</v>
      </c>
      <c r="B200" s="4">
        <v>45686</v>
      </c>
      <c r="C200" s="1" t="s">
        <v>23</v>
      </c>
      <c r="D200" s="1" t="s">
        <v>13</v>
      </c>
      <c r="E200" s="1" t="s">
        <v>67</v>
      </c>
      <c r="F200" s="1" t="s">
        <v>52</v>
      </c>
      <c r="G200" s="1" t="s">
        <v>39</v>
      </c>
      <c r="H200" s="1">
        <v>1</v>
      </c>
      <c r="I200" s="1" t="s">
        <v>344</v>
      </c>
      <c r="J200" s="1" t="s">
        <v>344</v>
      </c>
      <c r="K200" s="1" t="str">
        <v>Starter Plan</v>
      </c>
      <c r="L200" s="1" t="str">
        <f t="shared" si="0"/>
        <v>Carlos Mendez</v>
      </c>
      <c r="M200" s="1" t="str">
        <f t="shared" si="200"/>
        <v>EMEA</v>
      </c>
      <c r="N200" s="15">
        <f t="shared" ref="N200:O200" si="207">VALUE(SUBSTITUTE(SUBSTITUTE(SUBSTITUTE(I200,"$",""),",",""),".",","))</f>
        <v>49.17</v>
      </c>
      <c r="O200" s="5">
        <f t="shared" si="202"/>
        <v>49.17</v>
      </c>
    </row>
    <row r="201" spans="1:15" ht="12.5">
      <c r="A201" s="1" t="s">
        <v>318</v>
      </c>
      <c r="B201" s="4">
        <v>45683</v>
      </c>
      <c r="C201" s="1" t="s">
        <v>135</v>
      </c>
      <c r="D201" s="1" t="s">
        <v>48</v>
      </c>
      <c r="E201" s="1" t="s">
        <v>62</v>
      </c>
      <c r="F201" s="1" t="s">
        <v>31</v>
      </c>
      <c r="G201" s="1" t="s">
        <v>39</v>
      </c>
      <c r="H201" s="1">
        <v>1</v>
      </c>
      <c r="I201" s="1" t="s">
        <v>321</v>
      </c>
      <c r="J201" s="1" t="s">
        <v>321</v>
      </c>
      <c r="K201" s="1" t="str">
        <v>Business Plan</v>
      </c>
      <c r="L201" s="1" t="str">
        <f t="shared" si="0"/>
        <v>David Kim</v>
      </c>
      <c r="M201" s="1" t="str">
        <f t="shared" si="200"/>
        <v>EMEA</v>
      </c>
      <c r="N201" s="15">
        <f t="shared" ref="N201:O201" si="208">VALUE(SUBSTITUTE(SUBSTITUTE(SUBSTITUTE(I201,"$",""),",",""),".",","))</f>
        <v>402.09</v>
      </c>
      <c r="O201" s="5">
        <f t="shared" si="202"/>
        <v>402.09</v>
      </c>
    </row>
    <row r="202" spans="1:15" ht="12.5">
      <c r="A202" s="1" t="s">
        <v>728</v>
      </c>
      <c r="B202" s="4">
        <v>45739</v>
      </c>
      <c r="C202" s="1" t="s">
        <v>70</v>
      </c>
      <c r="D202" s="1" t="s">
        <v>24</v>
      </c>
      <c r="E202" s="1" t="s">
        <v>51</v>
      </c>
      <c r="F202" s="1" t="s">
        <v>52</v>
      </c>
      <c r="G202" s="1" t="s">
        <v>32</v>
      </c>
      <c r="H202" s="1">
        <v>1</v>
      </c>
      <c r="I202" s="1" t="s">
        <v>729</v>
      </c>
      <c r="J202" s="1" t="s">
        <v>729</v>
      </c>
      <c r="K202" s="1" t="str">
        <v>Pro Plan</v>
      </c>
      <c r="L202" s="1" t="str">
        <f t="shared" si="0"/>
        <v>Priya Patel</v>
      </c>
      <c r="M202" s="1" t="str">
        <f t="shared" si="200"/>
        <v>LATAM</v>
      </c>
      <c r="N202" s="15">
        <f t="shared" ref="N202:O202" si="209">VALUE(SUBSTITUTE(SUBSTITUTE(SUBSTITUTE(I202,"$",""),",",""),".",","))</f>
        <v>224.95</v>
      </c>
      <c r="O202" s="5">
        <f t="shared" si="202"/>
        <v>224.95</v>
      </c>
    </row>
    <row r="203" spans="1:15" ht="12.5">
      <c r="A203" s="1" t="s">
        <v>45</v>
      </c>
      <c r="B203" s="4">
        <v>45659</v>
      </c>
      <c r="C203" s="1" t="s">
        <v>46</v>
      </c>
      <c r="D203" s="1" t="s">
        <v>48</v>
      </c>
      <c r="E203" s="1" t="s">
        <v>49</v>
      </c>
      <c r="F203" s="1" t="s">
        <v>50</v>
      </c>
      <c r="G203" s="1" t="s">
        <v>17</v>
      </c>
      <c r="H203" s="1">
        <v>5</v>
      </c>
      <c r="I203" s="1" t="s">
        <v>53</v>
      </c>
      <c r="J203" s="1" t="s">
        <v>54</v>
      </c>
      <c r="K203" s="1" t="str">
        <v>Business Plan</v>
      </c>
      <c r="L203" s="1" t="str">
        <f t="shared" si="0"/>
        <v>James Park</v>
      </c>
      <c r="M203" s="1" t="str">
        <f t="shared" si="200"/>
        <v>North America</v>
      </c>
      <c r="N203" s="15">
        <f t="shared" ref="N203:O203" si="210">VALUE(SUBSTITUTE(SUBSTITUTE(SUBSTITUTE(I203,"$",""),",",""),".",","))</f>
        <v>369.19</v>
      </c>
      <c r="O203" s="5">
        <f t="shared" si="202"/>
        <v>1845.95</v>
      </c>
    </row>
    <row r="204" spans="1:15" ht="12.5">
      <c r="A204" s="1" t="s">
        <v>457</v>
      </c>
      <c r="B204" s="4">
        <v>45706</v>
      </c>
      <c r="C204" s="1" t="s">
        <v>200</v>
      </c>
      <c r="D204" s="1" t="s">
        <v>48</v>
      </c>
      <c r="E204" s="1" t="s">
        <v>30</v>
      </c>
      <c r="F204" s="1" t="s">
        <v>31</v>
      </c>
      <c r="G204" s="1" t="s">
        <v>39</v>
      </c>
      <c r="H204" s="1">
        <v>1</v>
      </c>
      <c r="I204" s="1" t="s">
        <v>458</v>
      </c>
      <c r="J204" s="1" t="s">
        <v>458</v>
      </c>
      <c r="K204" s="1" t="str">
        <v>Business Plan</v>
      </c>
      <c r="L204" s="1" t="str">
        <f t="shared" si="0"/>
        <v>Marcus Johnson</v>
      </c>
      <c r="M204" s="1" t="str">
        <f t="shared" si="200"/>
        <v>EMEA</v>
      </c>
      <c r="N204" s="15">
        <f t="shared" ref="N204:O204" si="211">VALUE(SUBSTITUTE(SUBSTITUTE(SUBSTITUTE(I204,"$",""),",",""),".",","))</f>
        <v>415.25</v>
      </c>
      <c r="O204" s="5">
        <f t="shared" si="202"/>
        <v>415.25</v>
      </c>
    </row>
    <row r="205" spans="1:15" ht="12.5">
      <c r="A205" s="1" t="s">
        <v>717</v>
      </c>
      <c r="B205" s="4">
        <v>45736</v>
      </c>
      <c r="C205" s="1" t="s">
        <v>222</v>
      </c>
      <c r="D205" s="1" t="s">
        <v>117</v>
      </c>
      <c r="E205" s="1" t="s">
        <v>25</v>
      </c>
      <c r="F205" s="1" t="s">
        <v>15</v>
      </c>
      <c r="G205" s="1" t="s">
        <v>71</v>
      </c>
      <c r="H205" s="1">
        <v>1</v>
      </c>
      <c r="I205" s="1" t="s">
        <v>718</v>
      </c>
      <c r="J205" s="1" t="s">
        <v>718</v>
      </c>
      <c r="K205" s="1" t="str">
        <v>Add-on: Analytics</v>
      </c>
      <c r="L205" s="1" t="str">
        <f t="shared" si="0"/>
        <v>Tom Wilson</v>
      </c>
      <c r="M205" s="1" t="str">
        <f t="shared" si="200"/>
        <v>APAC</v>
      </c>
      <c r="N205" s="15">
        <f t="shared" ref="N205:O205" si="212">VALUE(SUBSTITUTE(SUBSTITUTE(SUBSTITUTE(I205,"$",""),",",""),".",","))</f>
        <v>102.63</v>
      </c>
      <c r="O205" s="5">
        <f t="shared" si="202"/>
        <v>102.63</v>
      </c>
    </row>
    <row r="206" spans="1:15" ht="12.5">
      <c r="A206" s="1" t="s">
        <v>431</v>
      </c>
      <c r="B206" s="4">
        <v>45699</v>
      </c>
      <c r="C206" s="1" t="s">
        <v>262</v>
      </c>
      <c r="D206" s="1" t="s">
        <v>48</v>
      </c>
      <c r="E206" s="1" t="s">
        <v>49</v>
      </c>
      <c r="F206" s="1" t="s">
        <v>50</v>
      </c>
      <c r="G206" s="1" t="s">
        <v>39</v>
      </c>
      <c r="H206" s="1">
        <v>2</v>
      </c>
      <c r="I206" s="1" t="s">
        <v>432</v>
      </c>
      <c r="J206" s="1" t="s">
        <v>433</v>
      </c>
      <c r="K206" s="1" t="str">
        <v>Business Plan</v>
      </c>
      <c r="L206" s="1" t="str">
        <f t="shared" si="0"/>
        <v>James Park</v>
      </c>
      <c r="M206" s="1" t="str">
        <f t="shared" si="200"/>
        <v>EMEA</v>
      </c>
      <c r="N206" s="15">
        <f t="shared" ref="N206:O206" si="213">VALUE(SUBSTITUTE(SUBSTITUTE(SUBSTITUTE(I206,"$",""),",",""),".",","))</f>
        <v>410.14</v>
      </c>
      <c r="O206" s="5">
        <f t="shared" si="202"/>
        <v>820.28</v>
      </c>
    </row>
    <row r="207" spans="1:15" ht="12.5">
      <c r="A207" s="1" t="s">
        <v>124</v>
      </c>
      <c r="B207" s="4">
        <v>45664</v>
      </c>
      <c r="C207" s="1" t="s">
        <v>125</v>
      </c>
      <c r="D207" s="1" t="s">
        <v>117</v>
      </c>
      <c r="E207" s="1" t="s">
        <v>38</v>
      </c>
      <c r="F207" s="1" t="s">
        <v>15</v>
      </c>
      <c r="G207" s="1" t="s">
        <v>71</v>
      </c>
      <c r="H207" s="1">
        <v>5</v>
      </c>
      <c r="I207" s="1" t="s">
        <v>126</v>
      </c>
      <c r="J207" s="1" t="s">
        <v>127</v>
      </c>
      <c r="K207" s="1" t="str">
        <v>Add-on: Analytics</v>
      </c>
      <c r="L207" s="1" t="str">
        <f t="shared" si="0"/>
        <v>Elena Rossi</v>
      </c>
      <c r="M207" s="1" t="str">
        <f t="shared" si="200"/>
        <v>APAC</v>
      </c>
      <c r="N207" s="15">
        <f t="shared" ref="N207:O207" si="214">VALUE(SUBSTITUTE(SUBSTITUTE(SUBSTITUTE(I207,"$",""),",",""),".",","))</f>
        <v>74.69</v>
      </c>
      <c r="O207" s="5">
        <f t="shared" si="202"/>
        <v>373.45</v>
      </c>
    </row>
    <row r="208" spans="1:15" ht="12.5">
      <c r="A208" s="1" t="s">
        <v>413</v>
      </c>
      <c r="B208" s="4">
        <v>45696</v>
      </c>
      <c r="C208" s="1" t="s">
        <v>57</v>
      </c>
      <c r="D208" s="1" t="s">
        <v>24</v>
      </c>
      <c r="E208" s="1" t="s">
        <v>62</v>
      </c>
      <c r="F208" s="1" t="s">
        <v>31</v>
      </c>
      <c r="G208" s="1" t="s">
        <v>230</v>
      </c>
      <c r="H208" s="1">
        <v>20</v>
      </c>
      <c r="I208" s="1" t="s">
        <v>414</v>
      </c>
      <c r="J208" s="6">
        <v>973160</v>
      </c>
      <c r="K208" s="1" t="str">
        <v>Pro Plan</v>
      </c>
      <c r="L208" s="1" t="str">
        <f t="shared" si="0"/>
        <v>David Kim</v>
      </c>
      <c r="M208" s="1" t="str">
        <f t="shared" si="200"/>
        <v>North America</v>
      </c>
      <c r="N208" s="15">
        <f t="shared" ref="N208:O208" si="215">VALUE(SUBSTITUTE(SUBSTITUTE(SUBSTITUTE(I208,"$",""),",",""),".",","))</f>
        <v>228.23</v>
      </c>
      <c r="O208" s="5">
        <f t="shared" si="202"/>
        <v>4564.5999999999995</v>
      </c>
    </row>
    <row r="209" spans="1:15" ht="12.5">
      <c r="A209" s="1" t="s">
        <v>444</v>
      </c>
      <c r="B209" s="4">
        <v>45704</v>
      </c>
      <c r="C209" s="1" t="s">
        <v>445</v>
      </c>
      <c r="D209" s="1" t="s">
        <v>117</v>
      </c>
      <c r="E209" s="1" t="s">
        <v>107</v>
      </c>
      <c r="F209" s="1" t="s">
        <v>52</v>
      </c>
      <c r="G209" s="1" t="s">
        <v>17</v>
      </c>
      <c r="H209" s="1">
        <v>1</v>
      </c>
      <c r="I209" s="1" t="s">
        <v>446</v>
      </c>
      <c r="J209" s="1" t="s">
        <v>446</v>
      </c>
      <c r="K209" s="1" t="str">
        <v>Add-on: Analytics</v>
      </c>
      <c r="L209" s="1" t="str">
        <f t="shared" si="0"/>
        <v>Sophie Laurent</v>
      </c>
      <c r="M209" s="1" t="str">
        <f t="shared" si="200"/>
        <v>North America</v>
      </c>
      <c r="N209" s="15">
        <f t="shared" ref="N209:O209" si="216">VALUE(SUBSTITUTE(SUBSTITUTE(SUBSTITUTE(I209,"$",""),",",""),".",","))</f>
        <v>104.56</v>
      </c>
      <c r="O209" s="5">
        <f t="shared" si="202"/>
        <v>104.56</v>
      </c>
    </row>
    <row r="210" spans="1:15" ht="12.5">
      <c r="A210" s="1" t="s">
        <v>145</v>
      </c>
      <c r="B210" s="4">
        <v>45667</v>
      </c>
      <c r="C210" s="1" t="s">
        <v>146</v>
      </c>
      <c r="D210" s="1" t="s">
        <v>24</v>
      </c>
      <c r="E210" s="1" t="s">
        <v>38</v>
      </c>
      <c r="F210" s="1" t="s">
        <v>15</v>
      </c>
      <c r="G210" s="1" t="s">
        <v>17</v>
      </c>
      <c r="H210" s="1">
        <v>1</v>
      </c>
      <c r="I210" s="1" t="s">
        <v>147</v>
      </c>
      <c r="J210" s="1" t="s">
        <v>148</v>
      </c>
      <c r="K210" s="1" t="str">
        <v>Pro Plan</v>
      </c>
      <c r="L210" s="1" t="str">
        <f t="shared" si="0"/>
        <v>Elena Rossi</v>
      </c>
      <c r="M210" s="1" t="str">
        <f t="shared" si="200"/>
        <v>North America</v>
      </c>
      <c r="N210" s="15">
        <f t="shared" ref="N210:O210" si="217">VALUE(SUBSTITUTE(SUBSTITUTE(SUBSTITUTE(I210,"$",""),",",""),".",","))</f>
        <v>276.18</v>
      </c>
      <c r="O210" s="5">
        <f t="shared" si="202"/>
        <v>276.18</v>
      </c>
    </row>
    <row r="211" spans="1:15" ht="12.5">
      <c r="A211" s="1" t="s">
        <v>385</v>
      </c>
      <c r="B211" s="4">
        <v>45692</v>
      </c>
      <c r="C211" s="1" t="s">
        <v>79</v>
      </c>
      <c r="D211" s="1" t="s">
        <v>48</v>
      </c>
      <c r="E211" s="1" t="s">
        <v>178</v>
      </c>
      <c r="F211" s="1" t="s">
        <v>31</v>
      </c>
      <c r="G211" s="1" t="s">
        <v>32</v>
      </c>
      <c r="H211" s="1">
        <v>5</v>
      </c>
      <c r="I211" s="1" t="s">
        <v>386</v>
      </c>
      <c r="J211" s="6">
        <v>93686</v>
      </c>
      <c r="K211" s="1" t="str">
        <v>Business Plan</v>
      </c>
      <c r="L211" s="1" t="str">
        <f t="shared" si="0"/>
        <v>Aisha Hassan</v>
      </c>
      <c r="M211" s="1" t="str">
        <f t="shared" si="200"/>
        <v>LATAM</v>
      </c>
      <c r="N211" s="15">
        <f t="shared" ref="N211:O211" si="218">VALUE(SUBSTITUTE(SUBSTITUTE(SUBSTITUTE(I211,"$",""),",",""),".",","))</f>
        <v>431.34</v>
      </c>
      <c r="O211" s="5">
        <f t="shared" si="202"/>
        <v>2156.6999999999998</v>
      </c>
    </row>
    <row r="212" spans="1:15" ht="12.5">
      <c r="A212" s="1" t="s">
        <v>116</v>
      </c>
      <c r="B212" s="4">
        <v>45663</v>
      </c>
      <c r="C212" s="1" t="s">
        <v>85</v>
      </c>
      <c r="D212" s="1" t="s">
        <v>117</v>
      </c>
      <c r="E212" s="1" t="s">
        <v>49</v>
      </c>
      <c r="F212" s="1" t="s">
        <v>50</v>
      </c>
      <c r="G212" s="1" t="s">
        <v>32</v>
      </c>
      <c r="H212" s="1">
        <v>5</v>
      </c>
      <c r="I212" s="1" t="s">
        <v>119</v>
      </c>
      <c r="J212" s="1" t="s">
        <v>120</v>
      </c>
      <c r="K212" s="1" t="str">
        <v>Add-on: Analytics</v>
      </c>
      <c r="L212" s="1" t="str">
        <f t="shared" si="0"/>
        <v>James Park</v>
      </c>
      <c r="M212" s="1" t="str">
        <f t="shared" si="200"/>
        <v>LATAM</v>
      </c>
      <c r="N212" s="15">
        <f t="shared" ref="N212:O212" si="219">VALUE(SUBSTITUTE(SUBSTITUTE(SUBSTITUTE(I212,"$",""),",",""),".",","))</f>
        <v>69.69</v>
      </c>
      <c r="O212" s="5">
        <f t="shared" si="202"/>
        <v>348.45</v>
      </c>
    </row>
    <row r="213" spans="1:15" ht="12.5">
      <c r="A213" s="1" t="s">
        <v>730</v>
      </c>
      <c r="B213" s="4">
        <v>45739</v>
      </c>
      <c r="C213" s="1" t="s">
        <v>215</v>
      </c>
      <c r="D213" s="1" t="s">
        <v>24</v>
      </c>
      <c r="E213" s="1" t="s">
        <v>30</v>
      </c>
      <c r="F213" s="1" t="s">
        <v>31</v>
      </c>
      <c r="G213" s="1" t="s">
        <v>39</v>
      </c>
      <c r="H213" s="1">
        <v>2</v>
      </c>
      <c r="I213" s="1" t="s">
        <v>731</v>
      </c>
      <c r="J213" s="1" t="s">
        <v>732</v>
      </c>
      <c r="K213" s="1" t="str">
        <v>Pro Plan</v>
      </c>
      <c r="L213" s="1" t="str">
        <f t="shared" si="0"/>
        <v>Marcus Johnson</v>
      </c>
      <c r="M213" s="1" t="str">
        <f t="shared" si="200"/>
        <v>EMEA</v>
      </c>
      <c r="N213" s="15">
        <f t="shared" ref="N213:O213" si="220">VALUE(SUBSTITUTE(SUBSTITUTE(SUBSTITUTE(I213,"$",""),",",""),".",","))</f>
        <v>283.25</v>
      </c>
      <c r="O213" s="5">
        <f t="shared" si="202"/>
        <v>566.5</v>
      </c>
    </row>
    <row r="214" spans="1:15" ht="12.5">
      <c r="A214" s="1" t="s">
        <v>421</v>
      </c>
      <c r="B214" s="4">
        <v>45697</v>
      </c>
      <c r="C214" s="1" t="s">
        <v>47</v>
      </c>
      <c r="D214" s="1" t="s">
        <v>48</v>
      </c>
      <c r="E214" s="1" t="s">
        <v>25</v>
      </c>
      <c r="F214" s="1" t="s">
        <v>15</v>
      </c>
      <c r="G214" s="1" t="s">
        <v>32</v>
      </c>
      <c r="H214" s="1">
        <v>1</v>
      </c>
      <c r="I214" s="1" t="s">
        <v>422</v>
      </c>
      <c r="J214" s="1" t="s">
        <v>422</v>
      </c>
      <c r="K214" s="1" t="str">
        <v>Business Plan</v>
      </c>
      <c r="L214" s="1" t="str">
        <f t="shared" si="0"/>
        <v>Tom Wilson</v>
      </c>
      <c r="M214" s="1" t="str">
        <f t="shared" si="200"/>
        <v>LATAM</v>
      </c>
      <c r="N214" s="15">
        <f t="shared" ref="N214:O214" si="221">VALUE(SUBSTITUTE(SUBSTITUTE(SUBSTITUTE(I214,"$",""),",",""),".",","))</f>
        <v>440.61</v>
      </c>
      <c r="O214" s="5">
        <f t="shared" si="202"/>
        <v>440.61</v>
      </c>
    </row>
    <row r="215" spans="1:15" ht="12.5">
      <c r="A215" s="1" t="s">
        <v>467</v>
      </c>
      <c r="B215" s="4">
        <v>45708</v>
      </c>
      <c r="C215" s="1" t="s">
        <v>200</v>
      </c>
      <c r="D215" s="1" t="s">
        <v>117</v>
      </c>
      <c r="E215" s="1" t="s">
        <v>96</v>
      </c>
      <c r="F215" s="1" t="s">
        <v>50</v>
      </c>
      <c r="G215" s="1" t="s">
        <v>32</v>
      </c>
      <c r="H215" s="1">
        <v>50</v>
      </c>
      <c r="I215" s="1" t="s">
        <v>468</v>
      </c>
      <c r="J215" s="6">
        <v>453753</v>
      </c>
      <c r="K215" s="1" t="str">
        <v>Add-on: Analytics</v>
      </c>
      <c r="L215" s="1" t="str">
        <f t="shared" si="0"/>
        <v>Hannah Lee</v>
      </c>
      <c r="M215" s="1" t="str">
        <f t="shared" si="200"/>
        <v>LATAM</v>
      </c>
      <c r="N215" s="15">
        <f t="shared" ref="N215:O215" si="222">VALUE(SUBSTITUTE(SUBSTITUTE(SUBSTITUTE(I215,"$",""),",",""),".",","))</f>
        <v>62.85</v>
      </c>
      <c r="O215" s="5">
        <f t="shared" si="202"/>
        <v>3142.5</v>
      </c>
    </row>
    <row r="216" spans="1:15" ht="12.5">
      <c r="A216" s="1" t="s">
        <v>149</v>
      </c>
      <c r="B216" s="4">
        <v>45667</v>
      </c>
      <c r="C216" s="1" t="s">
        <v>12</v>
      </c>
      <c r="D216" s="1" t="s">
        <v>13</v>
      </c>
      <c r="E216" s="1" t="s">
        <v>62</v>
      </c>
      <c r="F216" s="1" t="s">
        <v>31</v>
      </c>
      <c r="G216" s="1" t="s">
        <v>39</v>
      </c>
      <c r="H216" s="1">
        <v>20</v>
      </c>
      <c r="I216" s="1" t="s">
        <v>150</v>
      </c>
      <c r="J216" s="1" t="s">
        <v>151</v>
      </c>
      <c r="K216" s="1" t="str">
        <v>Starter Plan</v>
      </c>
      <c r="L216" s="1" t="str">
        <f t="shared" si="0"/>
        <v>David Kim</v>
      </c>
      <c r="M216" s="1" t="str">
        <f t="shared" si="200"/>
        <v>EMEA</v>
      </c>
      <c r="N216" s="15">
        <f t="shared" ref="N216:O216" si="223">VALUE(SUBSTITUTE(SUBSTITUTE(SUBSTITUTE(I216,"$",""),",",""),".",","))</f>
        <v>63.25</v>
      </c>
      <c r="O216" s="5">
        <f t="shared" si="202"/>
        <v>1265</v>
      </c>
    </row>
    <row r="217" spans="1:15" ht="12.5">
      <c r="A217" s="1" t="s">
        <v>286</v>
      </c>
      <c r="B217" s="4">
        <v>45680</v>
      </c>
      <c r="C217" s="1" t="s">
        <v>42</v>
      </c>
      <c r="D217" s="1" t="s">
        <v>24</v>
      </c>
      <c r="E217" s="1" t="s">
        <v>51</v>
      </c>
      <c r="F217" s="1" t="s">
        <v>52</v>
      </c>
      <c r="G217" s="1" t="s">
        <v>86</v>
      </c>
      <c r="H217" s="1">
        <v>1</v>
      </c>
      <c r="I217" s="1" t="s">
        <v>287</v>
      </c>
      <c r="J217" s="1" t="s">
        <v>287</v>
      </c>
      <c r="K217" s="1" t="str">
        <v>Pro Plan</v>
      </c>
      <c r="L217" s="1" t="str">
        <f t="shared" si="0"/>
        <v>Priya Patel</v>
      </c>
      <c r="M217" s="1" t="str">
        <f t="shared" si="200"/>
        <v>APAC</v>
      </c>
      <c r="N217" s="15">
        <f t="shared" ref="N217:O217" si="224">VALUE(SUBSTITUTE(SUBSTITUTE(SUBSTITUTE(I217,"$",""),",",""),".",","))</f>
        <v>256.91000000000003</v>
      </c>
      <c r="O217" s="5">
        <f t="shared" si="202"/>
        <v>256.91000000000003</v>
      </c>
    </row>
    <row r="218" spans="1:15" ht="12.5">
      <c r="A218" s="1" t="s">
        <v>540</v>
      </c>
      <c r="B218" s="4">
        <v>45715</v>
      </c>
      <c r="C218" s="1" t="s">
        <v>200</v>
      </c>
      <c r="D218" s="1" t="s">
        <v>24</v>
      </c>
      <c r="E218" s="1" t="s">
        <v>178</v>
      </c>
      <c r="F218" s="1" t="s">
        <v>31</v>
      </c>
      <c r="G218" s="1" t="s">
        <v>160</v>
      </c>
      <c r="H218" s="1">
        <v>1</v>
      </c>
      <c r="I218" s="1" t="s">
        <v>541</v>
      </c>
      <c r="J218" s="1" t="s">
        <v>542</v>
      </c>
      <c r="K218" s="1" t="str">
        <v>Pro Plan</v>
      </c>
      <c r="L218" s="1" t="str">
        <f t="shared" si="0"/>
        <v>Aisha Hassan</v>
      </c>
      <c r="M218" s="1" t="str">
        <f t="shared" si="200"/>
        <v>North America</v>
      </c>
      <c r="N218" s="15">
        <f t="shared" ref="N218:O218" si="225">VALUE(SUBSTITUTE(SUBSTITUTE(SUBSTITUTE(I218,"$",""),",",""),".",","))</f>
        <v>293.39</v>
      </c>
      <c r="O218" s="5">
        <f t="shared" si="202"/>
        <v>293.39</v>
      </c>
    </row>
    <row r="219" spans="1:15" ht="12.5">
      <c r="A219" s="1" t="s">
        <v>674</v>
      </c>
      <c r="B219" s="4">
        <v>45732</v>
      </c>
      <c r="C219" s="1" t="s">
        <v>46</v>
      </c>
      <c r="D219" s="1" t="s">
        <v>13</v>
      </c>
      <c r="E219" s="1" t="s">
        <v>62</v>
      </c>
      <c r="F219" s="1" t="s">
        <v>31</v>
      </c>
      <c r="G219" s="1" t="s">
        <v>71</v>
      </c>
      <c r="H219" s="1">
        <v>10</v>
      </c>
      <c r="I219" s="1" t="s">
        <v>677</v>
      </c>
      <c r="J219" s="1" t="s">
        <v>678</v>
      </c>
      <c r="K219" s="1" t="str">
        <v>Starter Plan</v>
      </c>
      <c r="L219" s="1" t="str">
        <f t="shared" si="0"/>
        <v>David Kim</v>
      </c>
      <c r="M219" s="1" t="str">
        <f t="shared" si="200"/>
        <v>APAC</v>
      </c>
      <c r="N219" s="15">
        <f t="shared" ref="N219:O219" si="226">VALUE(SUBSTITUTE(SUBSTITUTE(SUBSTITUTE(I219,"$",""),",",""),".",","))</f>
        <v>49.92</v>
      </c>
      <c r="O219" s="5">
        <f t="shared" si="202"/>
        <v>499.20000000000005</v>
      </c>
    </row>
    <row r="220" spans="1:15" ht="12.5">
      <c r="A220" s="1" t="s">
        <v>165</v>
      </c>
      <c r="B220" s="4">
        <v>45668</v>
      </c>
      <c r="C220" s="1" t="s">
        <v>61</v>
      </c>
      <c r="D220" s="1" t="s">
        <v>117</v>
      </c>
      <c r="E220" s="1" t="s">
        <v>62</v>
      </c>
      <c r="F220" s="1" t="s">
        <v>31</v>
      </c>
      <c r="G220" s="1" t="s">
        <v>39</v>
      </c>
      <c r="H220" s="1">
        <v>1</v>
      </c>
      <c r="I220" s="1" t="s">
        <v>166</v>
      </c>
      <c r="J220" s="1" t="s">
        <v>166</v>
      </c>
      <c r="K220" s="1" t="str">
        <v>Add-on: Analytics</v>
      </c>
      <c r="L220" s="1" t="str">
        <f t="shared" si="0"/>
        <v>David Kim</v>
      </c>
      <c r="M220" s="1" t="str">
        <f t="shared" si="200"/>
        <v>EMEA</v>
      </c>
      <c r="N220" s="15">
        <f t="shared" ref="N220:O220" si="227">VALUE(SUBSTITUTE(SUBSTITUTE(SUBSTITUTE(I220,"$",""),",",""),".",","))</f>
        <v>63.23</v>
      </c>
      <c r="O220" s="5">
        <f t="shared" si="202"/>
        <v>63.23</v>
      </c>
    </row>
    <row r="221" spans="1:15" ht="12.5">
      <c r="A221" s="1" t="s">
        <v>174</v>
      </c>
      <c r="B221" s="4">
        <v>45669</v>
      </c>
      <c r="C221" s="1" t="s">
        <v>175</v>
      </c>
      <c r="D221" s="1" t="s">
        <v>117</v>
      </c>
      <c r="E221" s="1" t="s">
        <v>30</v>
      </c>
      <c r="F221" s="1" t="s">
        <v>31</v>
      </c>
      <c r="G221" s="1" t="s">
        <v>17</v>
      </c>
      <c r="H221" s="1">
        <v>1</v>
      </c>
      <c r="I221" s="1" t="s">
        <v>177</v>
      </c>
      <c r="J221" s="1" t="s">
        <v>177</v>
      </c>
      <c r="K221" s="1" t="str">
        <v>Add-on: Analytics</v>
      </c>
      <c r="L221" s="1" t="str">
        <f t="shared" si="0"/>
        <v>Marcus Johnson</v>
      </c>
      <c r="M221" s="1" t="str">
        <f t="shared" si="200"/>
        <v>North America</v>
      </c>
      <c r="N221" s="15">
        <f t="shared" ref="N221:O221" si="228">VALUE(SUBSTITUTE(SUBSTITUTE(SUBSTITUTE(I221,"$",""),",",""),".",","))</f>
        <v>92.43</v>
      </c>
      <c r="O221" s="5">
        <f t="shared" si="202"/>
        <v>92.43</v>
      </c>
    </row>
    <row r="222" spans="1:15" ht="12.5">
      <c r="A222" s="1" t="s">
        <v>322</v>
      </c>
      <c r="B222" s="4">
        <v>45683</v>
      </c>
      <c r="C222" s="1" t="s">
        <v>186</v>
      </c>
      <c r="D222" s="1" t="s">
        <v>24</v>
      </c>
      <c r="E222" s="1" t="s">
        <v>163</v>
      </c>
      <c r="F222" s="1" t="s">
        <v>50</v>
      </c>
      <c r="G222" s="1" t="s">
        <v>205</v>
      </c>
      <c r="H222" s="1">
        <v>2</v>
      </c>
      <c r="I222" s="1" t="s">
        <v>323</v>
      </c>
      <c r="J222" s="1" t="s">
        <v>324</v>
      </c>
      <c r="K222" s="1" t="str">
        <v>Pro Plan</v>
      </c>
      <c r="L222" s="1" t="str">
        <f t="shared" si="0"/>
        <v>Raj Sharma</v>
      </c>
      <c r="M222" s="1" t="str">
        <f t="shared" si="200"/>
        <v>EMEA</v>
      </c>
      <c r="N222" s="15">
        <f t="shared" ref="N222:O222" si="229">VALUE(SUBSTITUTE(SUBSTITUTE(SUBSTITUTE(I222,"$",""),",",""),".",","))</f>
        <v>188.38</v>
      </c>
      <c r="O222" s="5">
        <f t="shared" si="202"/>
        <v>376.76</v>
      </c>
    </row>
    <row r="223" spans="1:15" ht="12.5">
      <c r="A223" s="1" t="s">
        <v>706</v>
      </c>
      <c r="B223" s="4">
        <v>45735</v>
      </c>
      <c r="C223" s="1" t="s">
        <v>250</v>
      </c>
      <c r="D223" s="1" t="s">
        <v>24</v>
      </c>
      <c r="E223" s="1" t="s">
        <v>67</v>
      </c>
      <c r="F223" s="1" t="s">
        <v>52</v>
      </c>
      <c r="G223" s="1" t="s">
        <v>71</v>
      </c>
      <c r="H223" s="1">
        <v>1</v>
      </c>
      <c r="I223" s="1" t="s">
        <v>707</v>
      </c>
      <c r="J223" s="1" t="s">
        <v>707</v>
      </c>
      <c r="K223" s="1" t="str">
        <v>Pro Plan</v>
      </c>
      <c r="L223" s="1" t="str">
        <f t="shared" si="0"/>
        <v>Carlos Mendez</v>
      </c>
      <c r="M223" s="1" t="str">
        <f t="shared" si="200"/>
        <v>APAC</v>
      </c>
      <c r="N223" s="15">
        <f t="shared" ref="N223:O223" si="230">VALUE(SUBSTITUTE(SUBSTITUTE(SUBSTITUTE(I223,"$",""),",",""),".",","))</f>
        <v>277.92</v>
      </c>
      <c r="O223" s="5">
        <f t="shared" si="202"/>
        <v>277.92</v>
      </c>
    </row>
    <row r="224" spans="1:15" ht="12.5">
      <c r="A224" s="1" t="s">
        <v>658</v>
      </c>
      <c r="B224" s="4">
        <v>45729</v>
      </c>
      <c r="C224" s="1" t="s">
        <v>329</v>
      </c>
      <c r="D224" s="1" t="s">
        <v>48</v>
      </c>
      <c r="E224" s="1" t="s">
        <v>14</v>
      </c>
      <c r="F224" s="1" t="s">
        <v>15</v>
      </c>
      <c r="G224" s="1" t="s">
        <v>39</v>
      </c>
      <c r="H224" s="1">
        <v>1</v>
      </c>
      <c r="I224" s="1" t="s">
        <v>659</v>
      </c>
      <c r="J224" s="1" t="s">
        <v>659</v>
      </c>
      <c r="K224" s="1" t="str">
        <v>Business Plan</v>
      </c>
      <c r="L224" s="1" t="str">
        <f t="shared" si="0"/>
        <v>Nina Petrov</v>
      </c>
      <c r="M224" s="1" t="str">
        <f t="shared" si="200"/>
        <v>EMEA</v>
      </c>
      <c r="N224" s="15">
        <f t="shared" ref="N224:O224" si="231">VALUE(SUBSTITUTE(SUBSTITUTE(SUBSTITUTE(I224,"$",""),",",""),".",","))</f>
        <v>382.36</v>
      </c>
      <c r="O224" s="5">
        <f t="shared" si="202"/>
        <v>382.36</v>
      </c>
    </row>
    <row r="225" spans="1:15" ht="12.5">
      <c r="A225" s="1" t="s">
        <v>325</v>
      </c>
      <c r="B225" s="4">
        <v>45683</v>
      </c>
      <c r="C225" s="1" t="s">
        <v>326</v>
      </c>
      <c r="D225" s="1" t="s">
        <v>24</v>
      </c>
      <c r="E225" s="1" t="s">
        <v>67</v>
      </c>
      <c r="F225" s="1" t="s">
        <v>52</v>
      </c>
      <c r="G225" s="1" t="s">
        <v>71</v>
      </c>
      <c r="H225" s="1">
        <v>1</v>
      </c>
      <c r="I225" s="1" t="s">
        <v>327</v>
      </c>
      <c r="J225" s="1" t="s">
        <v>327</v>
      </c>
      <c r="K225" s="1" t="str">
        <v>Pro Plan</v>
      </c>
      <c r="L225" s="1" t="str">
        <f t="shared" si="0"/>
        <v>Carlos Mendez</v>
      </c>
      <c r="M225" s="1" t="str">
        <f t="shared" si="200"/>
        <v>APAC</v>
      </c>
      <c r="N225" s="15">
        <f t="shared" ref="N225:O225" si="232">VALUE(SUBSTITUTE(SUBSTITUTE(SUBSTITUTE(I225,"$",""),",",""),".",","))</f>
        <v>195.73</v>
      </c>
      <c r="O225" s="5">
        <f t="shared" si="202"/>
        <v>195.73</v>
      </c>
    </row>
    <row r="226" spans="1:15" ht="12.5">
      <c r="A226" s="1" t="s">
        <v>761</v>
      </c>
      <c r="B226" s="4">
        <v>45744</v>
      </c>
      <c r="C226" s="1" t="s">
        <v>70</v>
      </c>
      <c r="D226" s="1" t="s">
        <v>13</v>
      </c>
      <c r="E226" s="1" t="s">
        <v>62</v>
      </c>
      <c r="F226" s="1" t="s">
        <v>31</v>
      </c>
      <c r="G226" s="1" t="s">
        <v>39</v>
      </c>
      <c r="H226" s="1">
        <v>1</v>
      </c>
      <c r="I226" s="1" t="s">
        <v>762</v>
      </c>
      <c r="J226" s="1" t="s">
        <v>763</v>
      </c>
      <c r="K226" s="1" t="str">
        <v>Starter Plan</v>
      </c>
      <c r="L226" s="1" t="str">
        <f t="shared" si="0"/>
        <v>David Kim</v>
      </c>
      <c r="M226" s="1" t="str">
        <f t="shared" si="200"/>
        <v>EMEA</v>
      </c>
      <c r="N226" s="15">
        <f t="shared" ref="N226:O226" si="233">VALUE(SUBSTITUTE(SUBSTITUTE(SUBSTITUTE(I226,"$",""),",",""),".",","))</f>
        <v>78.239999999999995</v>
      </c>
      <c r="O226" s="5">
        <f t="shared" si="202"/>
        <v>78.239999999999995</v>
      </c>
    </row>
    <row r="227" spans="1:15" ht="12.5">
      <c r="A227" s="1" t="s">
        <v>572</v>
      </c>
      <c r="B227" s="4">
        <v>45717</v>
      </c>
      <c r="C227" s="1" t="s">
        <v>85</v>
      </c>
      <c r="D227" s="1" t="s">
        <v>48</v>
      </c>
      <c r="E227" s="1" t="s">
        <v>14</v>
      </c>
      <c r="F227" s="1" t="s">
        <v>15</v>
      </c>
      <c r="G227" s="1" t="s">
        <v>39</v>
      </c>
      <c r="H227" s="1">
        <v>2</v>
      </c>
      <c r="I227" s="1" t="s">
        <v>573</v>
      </c>
      <c r="J227" s="1" t="s">
        <v>575</v>
      </c>
      <c r="K227" s="1" t="str">
        <v>Business Plan</v>
      </c>
      <c r="L227" s="1" t="str">
        <f t="shared" si="0"/>
        <v>Nina Petrov</v>
      </c>
      <c r="M227" s="1" t="str">
        <f t="shared" si="200"/>
        <v>EMEA</v>
      </c>
      <c r="N227" s="15">
        <f t="shared" ref="N227:O227" si="234">VALUE(SUBSTITUTE(SUBSTITUTE(SUBSTITUTE(I227,"$",""),",",""),".",","))</f>
        <v>408.62</v>
      </c>
      <c r="O227" s="5">
        <f t="shared" si="202"/>
        <v>817.24</v>
      </c>
    </row>
    <row r="228" spans="1:15" ht="12.5">
      <c r="A228" s="1" t="s">
        <v>764</v>
      </c>
      <c r="B228" s="4">
        <v>45745</v>
      </c>
      <c r="C228" s="1" t="s">
        <v>135</v>
      </c>
      <c r="D228" s="1" t="s">
        <v>13</v>
      </c>
      <c r="E228" s="1" t="s">
        <v>14</v>
      </c>
      <c r="F228" s="1" t="s">
        <v>15</v>
      </c>
      <c r="G228" s="1" t="s">
        <v>32</v>
      </c>
      <c r="H228" s="1">
        <v>2</v>
      </c>
      <c r="I228" s="1" t="s">
        <v>765</v>
      </c>
      <c r="J228" s="1" t="s">
        <v>766</v>
      </c>
      <c r="K228" s="1" t="str">
        <v>Starter Plan</v>
      </c>
      <c r="L228" s="1" t="str">
        <f t="shared" si="0"/>
        <v>Nina Petrov</v>
      </c>
      <c r="M228" s="1" t="str">
        <f t="shared" si="200"/>
        <v>LATAM</v>
      </c>
      <c r="N228" s="15">
        <f t="shared" ref="N228:O228" si="235">VALUE(SUBSTITUTE(SUBSTITUTE(SUBSTITUTE(I228,"$",""),",",""),".",","))</f>
        <v>63.35</v>
      </c>
      <c r="O228" s="5">
        <f t="shared" si="202"/>
        <v>126.7</v>
      </c>
    </row>
    <row r="229" spans="1:15" ht="12.5">
      <c r="A229" s="1" t="s">
        <v>688</v>
      </c>
      <c r="B229" s="4">
        <v>45733</v>
      </c>
      <c r="C229" s="1" t="s">
        <v>100</v>
      </c>
      <c r="D229" s="1" t="s">
        <v>13</v>
      </c>
      <c r="E229" s="1" t="s">
        <v>163</v>
      </c>
      <c r="F229" s="1" t="s">
        <v>50</v>
      </c>
      <c r="G229" s="1" t="s">
        <v>205</v>
      </c>
      <c r="H229" s="1">
        <v>1</v>
      </c>
      <c r="I229" s="1" t="s">
        <v>689</v>
      </c>
      <c r="J229" s="1" t="s">
        <v>690</v>
      </c>
      <c r="K229" s="1" t="str">
        <v>Starter Plan</v>
      </c>
      <c r="L229" s="1" t="str">
        <f t="shared" si="0"/>
        <v>Raj Sharma</v>
      </c>
      <c r="M229" s="1" t="str">
        <f t="shared" si="200"/>
        <v>EMEA</v>
      </c>
      <c r="N229" s="15">
        <f t="shared" ref="N229:O229" si="236">VALUE(SUBSTITUTE(SUBSTITUTE(SUBSTITUTE(I229,"$",""),",",""),".",","))</f>
        <v>60.9</v>
      </c>
      <c r="O229" s="5">
        <f t="shared" si="202"/>
        <v>60.9</v>
      </c>
    </row>
    <row r="230" spans="1:15" ht="12.5">
      <c r="A230" s="1" t="s">
        <v>181</v>
      </c>
      <c r="B230" s="4">
        <v>45670</v>
      </c>
      <c r="C230" s="1" t="s">
        <v>182</v>
      </c>
      <c r="D230" s="1" t="s">
        <v>48</v>
      </c>
      <c r="E230" s="1" t="s">
        <v>62</v>
      </c>
      <c r="F230" s="1" t="s">
        <v>31</v>
      </c>
      <c r="G230" s="1" t="s">
        <v>39</v>
      </c>
      <c r="H230" s="1">
        <v>2</v>
      </c>
      <c r="I230" s="1" t="s">
        <v>183</v>
      </c>
      <c r="J230" s="1" t="s">
        <v>184</v>
      </c>
      <c r="K230" s="1" t="str">
        <v>Business Plan</v>
      </c>
      <c r="L230" s="1" t="str">
        <f t="shared" si="0"/>
        <v>David Kim</v>
      </c>
      <c r="M230" s="1" t="str">
        <f t="shared" si="200"/>
        <v>EMEA</v>
      </c>
      <c r="N230" s="15">
        <f t="shared" ref="N230:O230" si="237">VALUE(SUBSTITUTE(SUBSTITUTE(SUBSTITUTE(I230,"$",""),",",""),".",","))</f>
        <v>409.02</v>
      </c>
      <c r="O230" s="5">
        <f t="shared" si="202"/>
        <v>818.04</v>
      </c>
    </row>
    <row r="231" spans="1:15" ht="12.5">
      <c r="A231" s="1" t="s">
        <v>28</v>
      </c>
      <c r="B231" s="4">
        <v>45658</v>
      </c>
      <c r="C231" s="1" t="s">
        <v>29</v>
      </c>
      <c r="D231" s="1" t="s">
        <v>24</v>
      </c>
      <c r="E231" s="1" t="s">
        <v>30</v>
      </c>
      <c r="F231" s="1" t="s">
        <v>31</v>
      </c>
      <c r="G231" s="1" t="s">
        <v>32</v>
      </c>
      <c r="H231" s="1">
        <v>2</v>
      </c>
      <c r="I231" s="1" t="s">
        <v>33</v>
      </c>
      <c r="J231" s="1" t="s">
        <v>34</v>
      </c>
      <c r="K231" s="1" t="str">
        <v>Pro Plan</v>
      </c>
      <c r="L231" s="1" t="str">
        <f t="shared" si="0"/>
        <v>Marcus Johnson</v>
      </c>
      <c r="M231" s="1" t="str">
        <f t="shared" si="200"/>
        <v>LATAM</v>
      </c>
      <c r="N231" s="15">
        <f t="shared" ref="N231:O231" si="238">VALUE(SUBSTITUTE(SUBSTITUTE(SUBSTITUTE(I231,"$",""),",",""),".",","))</f>
        <v>248.58</v>
      </c>
      <c r="O231" s="5">
        <f t="shared" si="202"/>
        <v>497.16</v>
      </c>
    </row>
    <row r="232" spans="1:15" ht="12.5">
      <c r="A232" s="1" t="s">
        <v>78</v>
      </c>
      <c r="B232" s="4">
        <v>45661</v>
      </c>
      <c r="C232" s="1" t="s">
        <v>79</v>
      </c>
      <c r="D232" s="1" t="s">
        <v>58</v>
      </c>
      <c r="E232" s="1" t="s">
        <v>30</v>
      </c>
      <c r="F232" s="1" t="s">
        <v>31</v>
      </c>
      <c r="G232" s="1" t="s">
        <v>39</v>
      </c>
      <c r="H232" s="1">
        <v>1</v>
      </c>
      <c r="I232" s="1" t="s">
        <v>80</v>
      </c>
      <c r="J232" s="1" t="s">
        <v>80</v>
      </c>
      <c r="K232" s="1" t="str">
        <v>Enterprise Plan</v>
      </c>
      <c r="L232" s="1" t="str">
        <f t="shared" si="0"/>
        <v>Marcus Johnson</v>
      </c>
      <c r="M232" s="1" t="str">
        <f t="shared" si="200"/>
        <v>EMEA</v>
      </c>
      <c r="N232" s="15">
        <f t="shared" ref="N232:O232" si="239">VALUE(SUBSTITUTE(SUBSTITUTE(SUBSTITUTE(I232,"$",""),",",""),".",","))</f>
        <v>992.76</v>
      </c>
      <c r="O232" s="5">
        <f t="shared" si="202"/>
        <v>992.76</v>
      </c>
    </row>
    <row r="233" spans="1:15" ht="12.5">
      <c r="A233" s="1" t="s">
        <v>398</v>
      </c>
      <c r="B233" s="4">
        <v>45695</v>
      </c>
      <c r="C233" s="1" t="s">
        <v>222</v>
      </c>
      <c r="D233" s="1" t="s">
        <v>13</v>
      </c>
      <c r="E233" s="1" t="s">
        <v>51</v>
      </c>
      <c r="F233" s="1" t="s">
        <v>52</v>
      </c>
      <c r="G233" s="1" t="s">
        <v>71</v>
      </c>
      <c r="H233" s="1">
        <v>1</v>
      </c>
      <c r="I233" s="1" t="s">
        <v>399</v>
      </c>
      <c r="J233" s="1" t="s">
        <v>400</v>
      </c>
      <c r="K233" s="1" t="str">
        <v>Starter Plan</v>
      </c>
      <c r="L233" s="1" t="str">
        <f t="shared" si="0"/>
        <v>Priya Patel</v>
      </c>
      <c r="M233" s="1" t="str">
        <f t="shared" si="200"/>
        <v>APAC</v>
      </c>
      <c r="N233" s="15">
        <f t="shared" ref="N233:O233" si="240">VALUE(SUBSTITUTE(SUBSTITUTE(SUBSTITUTE(I233,"$",""),",",""),".",","))</f>
        <v>54.56</v>
      </c>
      <c r="O233" s="5">
        <f t="shared" si="202"/>
        <v>54.56</v>
      </c>
    </row>
    <row r="234" spans="1:15" ht="12.5">
      <c r="A234" s="1" t="s">
        <v>667</v>
      </c>
      <c r="B234" s="4">
        <v>45731</v>
      </c>
      <c r="C234" s="1" t="s">
        <v>307</v>
      </c>
      <c r="D234" s="1" t="s">
        <v>24</v>
      </c>
      <c r="E234" s="1" t="s">
        <v>51</v>
      </c>
      <c r="F234" s="1" t="s">
        <v>52</v>
      </c>
      <c r="G234" s="1" t="s">
        <v>39</v>
      </c>
      <c r="H234" s="1">
        <v>1</v>
      </c>
      <c r="I234" s="1" t="s">
        <v>669</v>
      </c>
      <c r="J234" s="1" t="s">
        <v>670</v>
      </c>
      <c r="K234" s="1" t="str">
        <v>Pro Plan</v>
      </c>
      <c r="L234" s="1" t="str">
        <f t="shared" si="0"/>
        <v>Priya Patel</v>
      </c>
      <c r="M234" s="1" t="str">
        <f t="shared" si="200"/>
        <v>EMEA</v>
      </c>
      <c r="N234" s="15">
        <f t="shared" ref="N234:O234" si="241">VALUE(SUBSTITUTE(SUBSTITUTE(SUBSTITUTE(I234,"$",""),",",""),".",","))</f>
        <v>229.82</v>
      </c>
      <c r="O234" s="5">
        <f t="shared" si="202"/>
        <v>229.82</v>
      </c>
    </row>
    <row r="235" spans="1:15" ht="12.5">
      <c r="A235" s="1" t="s">
        <v>199</v>
      </c>
      <c r="B235" s="4">
        <v>45671</v>
      </c>
      <c r="C235" s="1" t="s">
        <v>200</v>
      </c>
      <c r="D235" s="1" t="s">
        <v>24</v>
      </c>
      <c r="E235" s="1" t="s">
        <v>51</v>
      </c>
      <c r="F235" s="1" t="s">
        <v>52</v>
      </c>
      <c r="G235" s="1" t="s">
        <v>17</v>
      </c>
      <c r="H235" s="1">
        <v>2</v>
      </c>
      <c r="I235" s="1" t="s">
        <v>202</v>
      </c>
      <c r="J235" s="1" t="s">
        <v>203</v>
      </c>
      <c r="K235" s="1" t="str">
        <v>Pro Plan</v>
      </c>
      <c r="L235" s="1" t="str">
        <f t="shared" si="0"/>
        <v>Priya Patel</v>
      </c>
      <c r="M235" s="1" t="str">
        <f t="shared" si="200"/>
        <v>North America</v>
      </c>
      <c r="N235" s="15">
        <f t="shared" ref="N235:O235" si="242">VALUE(SUBSTITUTE(SUBSTITUTE(SUBSTITUTE(I235,"$",""),",",""),".",","))</f>
        <v>233.74</v>
      </c>
      <c r="O235" s="5">
        <f t="shared" si="202"/>
        <v>467.48</v>
      </c>
    </row>
    <row r="236" spans="1:15" ht="12.5">
      <c r="A236" s="1" t="s">
        <v>297</v>
      </c>
      <c r="B236" s="4">
        <v>45681</v>
      </c>
      <c r="C236" s="1" t="s">
        <v>122</v>
      </c>
      <c r="D236" s="1" t="s">
        <v>13</v>
      </c>
      <c r="E236" s="1" t="s">
        <v>163</v>
      </c>
      <c r="F236" s="1" t="s">
        <v>50</v>
      </c>
      <c r="G236" s="1" t="s">
        <v>86</v>
      </c>
      <c r="H236" s="1">
        <v>2</v>
      </c>
      <c r="I236" s="1" t="s">
        <v>298</v>
      </c>
      <c r="J236" s="1" t="s">
        <v>299</v>
      </c>
      <c r="K236" s="1" t="str">
        <v>Starter Plan</v>
      </c>
      <c r="L236" s="1" t="str">
        <f t="shared" si="0"/>
        <v>Raj Sharma</v>
      </c>
      <c r="M236" s="1" t="str">
        <f t="shared" si="200"/>
        <v>APAC</v>
      </c>
      <c r="N236" s="15">
        <f t="shared" ref="N236:O236" si="243">VALUE(SUBSTITUTE(SUBSTITUTE(SUBSTITUTE(I236,"$",""),",",""),".",","))</f>
        <v>42.63</v>
      </c>
      <c r="O236" s="5">
        <f t="shared" si="202"/>
        <v>85.26</v>
      </c>
    </row>
    <row r="237" spans="1:15" ht="12.5">
      <c r="A237" s="1" t="s">
        <v>515</v>
      </c>
      <c r="B237" s="4">
        <v>45713</v>
      </c>
      <c r="C237" s="1" t="s">
        <v>215</v>
      </c>
      <c r="D237" s="1" t="s">
        <v>24</v>
      </c>
      <c r="E237" s="1" t="s">
        <v>67</v>
      </c>
      <c r="F237" s="1" t="s">
        <v>52</v>
      </c>
      <c r="G237" s="1" t="s">
        <v>32</v>
      </c>
      <c r="H237" s="1">
        <v>5</v>
      </c>
      <c r="I237" s="1" t="s">
        <v>516</v>
      </c>
      <c r="J237" s="6" t="s">
        <v>517</v>
      </c>
      <c r="K237" s="1" t="str">
        <v>Pro Plan</v>
      </c>
      <c r="L237" s="1" t="str">
        <f t="shared" si="0"/>
        <v>Carlos Mendez</v>
      </c>
      <c r="M237" s="1" t="str">
        <f t="shared" si="200"/>
        <v>LATAM</v>
      </c>
      <c r="N237" s="15">
        <f t="shared" ref="N237:O237" si="244">VALUE(SUBSTITUTE(SUBSTITUTE(SUBSTITUTE(I237,"$",""),",",""),".",","))</f>
        <v>289.32</v>
      </c>
      <c r="O237" s="5">
        <f t="shared" si="202"/>
        <v>1446.6</v>
      </c>
    </row>
    <row r="238" spans="1:15" ht="12.5">
      <c r="A238" s="1" t="s">
        <v>602</v>
      </c>
      <c r="B238" s="4">
        <v>45721</v>
      </c>
      <c r="C238" s="1" t="s">
        <v>85</v>
      </c>
      <c r="D238" s="1" t="s">
        <v>13</v>
      </c>
      <c r="E238" s="1" t="s">
        <v>178</v>
      </c>
      <c r="F238" s="1" t="s">
        <v>31</v>
      </c>
      <c r="G238" s="1" t="s">
        <v>82</v>
      </c>
      <c r="H238" s="1">
        <v>2</v>
      </c>
      <c r="I238" s="1" t="s">
        <v>603</v>
      </c>
      <c r="J238" s="1" t="s">
        <v>604</v>
      </c>
      <c r="K238" s="1" t="str">
        <v>Starter Plan</v>
      </c>
      <c r="L238" s="1" t="str">
        <f t="shared" si="0"/>
        <v>Aisha Hassan</v>
      </c>
      <c r="M238" s="1" t="str">
        <f t="shared" si="200"/>
        <v>LATAM</v>
      </c>
      <c r="N238" s="15">
        <f t="shared" ref="N238:O238" si="245">VALUE(SUBSTITUTE(SUBSTITUTE(SUBSTITUTE(I238,"$",""),",",""),".",","))</f>
        <v>79.56</v>
      </c>
      <c r="O238" s="5">
        <f t="shared" si="202"/>
        <v>159.12</v>
      </c>
    </row>
    <row r="239" spans="1:15" ht="12.5">
      <c r="A239" s="1" t="s">
        <v>694</v>
      </c>
      <c r="B239" s="4">
        <v>45734</v>
      </c>
      <c r="C239" s="1" t="s">
        <v>215</v>
      </c>
      <c r="D239" s="1" t="s">
        <v>13</v>
      </c>
      <c r="E239" s="1" t="s">
        <v>163</v>
      </c>
      <c r="F239" s="1" t="s">
        <v>50</v>
      </c>
      <c r="G239" s="1" t="s">
        <v>86</v>
      </c>
      <c r="H239" s="1">
        <v>2</v>
      </c>
      <c r="I239" s="1" t="s">
        <v>696</v>
      </c>
      <c r="J239" s="1" t="s">
        <v>697</v>
      </c>
      <c r="K239" s="1" t="str">
        <v>Starter Plan</v>
      </c>
      <c r="L239" s="1" t="str">
        <f t="shared" si="0"/>
        <v>Raj Sharma</v>
      </c>
      <c r="M239" s="1" t="str">
        <f t="shared" si="200"/>
        <v>APAC</v>
      </c>
      <c r="N239" s="15">
        <f t="shared" ref="N239:O239" si="246">VALUE(SUBSTITUTE(SUBSTITUTE(SUBSTITUTE(I239,"$",""),",",""),".",","))</f>
        <v>44.69</v>
      </c>
      <c r="O239" s="5">
        <f t="shared" si="202"/>
        <v>89.38</v>
      </c>
    </row>
    <row r="240" spans="1:15" ht="12.5">
      <c r="A240" s="1" t="s">
        <v>459</v>
      </c>
      <c r="B240" s="4">
        <v>45706</v>
      </c>
      <c r="C240" s="1" t="s">
        <v>222</v>
      </c>
      <c r="D240" s="1" t="s">
        <v>13</v>
      </c>
      <c r="E240" s="1" t="s">
        <v>49</v>
      </c>
      <c r="F240" s="1" t="s">
        <v>50</v>
      </c>
      <c r="G240" s="1" t="s">
        <v>71</v>
      </c>
      <c r="H240" s="1">
        <v>2</v>
      </c>
      <c r="I240" s="1" t="s">
        <v>460</v>
      </c>
      <c r="J240" s="1" t="s">
        <v>461</v>
      </c>
      <c r="K240" s="1" t="str">
        <v>Starter Plan</v>
      </c>
      <c r="L240" s="1" t="str">
        <f t="shared" si="0"/>
        <v>James Park</v>
      </c>
      <c r="M240" s="1" t="str">
        <f t="shared" si="200"/>
        <v>APAC</v>
      </c>
      <c r="N240" s="15">
        <f t="shared" ref="N240:O240" si="247">VALUE(SUBSTITUTE(SUBSTITUTE(SUBSTITUTE(I240,"$",""),",",""),".",","))</f>
        <v>42.09</v>
      </c>
      <c r="O240" s="5">
        <f t="shared" si="202"/>
        <v>84.18</v>
      </c>
    </row>
    <row r="241" spans="1:15" ht="12.5">
      <c r="A241" s="1" t="s">
        <v>529</v>
      </c>
      <c r="B241" s="4">
        <v>45714</v>
      </c>
      <c r="C241" s="1" t="s">
        <v>307</v>
      </c>
      <c r="D241" s="1" t="s">
        <v>24</v>
      </c>
      <c r="E241" s="1" t="s">
        <v>163</v>
      </c>
      <c r="F241" s="1" t="s">
        <v>50</v>
      </c>
      <c r="G241" s="1" t="s">
        <v>71</v>
      </c>
      <c r="H241" s="1">
        <v>1</v>
      </c>
      <c r="I241" s="1" t="s">
        <v>530</v>
      </c>
      <c r="J241" s="1" t="s">
        <v>530</v>
      </c>
      <c r="K241" s="1" t="str">
        <v>Pro Plan</v>
      </c>
      <c r="L241" s="1" t="str">
        <f t="shared" si="0"/>
        <v>Raj Sharma</v>
      </c>
      <c r="M241" s="1" t="str">
        <f t="shared" si="200"/>
        <v>APAC</v>
      </c>
      <c r="N241" s="15">
        <f t="shared" ref="N241:O241" si="248">VALUE(SUBSTITUTE(SUBSTITUTE(SUBSTITUTE(I241,"$",""),",",""),".",","))</f>
        <v>244.89</v>
      </c>
      <c r="O241" s="5">
        <f t="shared" si="202"/>
        <v>244.89</v>
      </c>
    </row>
    <row r="242" spans="1:15" ht="12.5">
      <c r="A242" s="1" t="s">
        <v>590</v>
      </c>
      <c r="B242" s="4">
        <v>45719</v>
      </c>
      <c r="C242" s="1" t="s">
        <v>29</v>
      </c>
      <c r="D242" s="1" t="s">
        <v>24</v>
      </c>
      <c r="E242" s="1" t="s">
        <v>96</v>
      </c>
      <c r="F242" s="1" t="s">
        <v>50</v>
      </c>
      <c r="G242" s="1" t="s">
        <v>160</v>
      </c>
      <c r="H242" s="1">
        <v>10</v>
      </c>
      <c r="I242" s="1" t="s">
        <v>591</v>
      </c>
      <c r="J242" s="1" t="s">
        <v>592</v>
      </c>
      <c r="K242" s="1" t="str">
        <v>Pro Plan</v>
      </c>
      <c r="L242" s="1" t="str">
        <f t="shared" si="0"/>
        <v>Hannah Lee</v>
      </c>
      <c r="M242" s="1" t="str">
        <f t="shared" si="200"/>
        <v>North America</v>
      </c>
      <c r="N242" s="15">
        <f t="shared" ref="N242:O242" si="249">VALUE(SUBSTITUTE(SUBSTITUTE(SUBSTITUTE(I242,"$",""),",",""),".",","))</f>
        <v>250.52</v>
      </c>
      <c r="O242" s="5">
        <f t="shared" si="202"/>
        <v>2505.2000000000003</v>
      </c>
    </row>
    <row r="243" spans="1:15" ht="12.5">
      <c r="A243" s="1" t="s">
        <v>489</v>
      </c>
      <c r="B243" s="4">
        <v>45709</v>
      </c>
      <c r="C243" s="1" t="s">
        <v>222</v>
      </c>
      <c r="D243" s="1" t="s">
        <v>13</v>
      </c>
      <c r="E243" s="1" t="s">
        <v>30</v>
      </c>
      <c r="F243" s="1" t="s">
        <v>31</v>
      </c>
      <c r="G243" s="1" t="s">
        <v>71</v>
      </c>
      <c r="H243" s="1">
        <v>1</v>
      </c>
      <c r="I243" s="1" t="s">
        <v>490</v>
      </c>
      <c r="J243" s="1" t="s">
        <v>490</v>
      </c>
      <c r="K243" s="1" t="str">
        <v>Starter Plan</v>
      </c>
      <c r="L243" s="1" t="str">
        <f t="shared" si="0"/>
        <v>Marcus Johnson</v>
      </c>
      <c r="M243" s="1" t="str">
        <f t="shared" si="200"/>
        <v>APAC</v>
      </c>
      <c r="N243" s="15">
        <f t="shared" ref="N243:O243" si="250">VALUE(SUBSTITUTE(SUBSTITUTE(SUBSTITUTE(I243,"$",""),",",""),".",","))</f>
        <v>46.99</v>
      </c>
      <c r="O243" s="5">
        <f t="shared" si="202"/>
        <v>46.99</v>
      </c>
    </row>
    <row r="244" spans="1:15" ht="12.5">
      <c r="A244" s="1" t="s">
        <v>390</v>
      </c>
      <c r="B244" s="4">
        <v>45693</v>
      </c>
      <c r="C244" s="1" t="s">
        <v>46</v>
      </c>
      <c r="D244" s="1" t="s">
        <v>24</v>
      </c>
      <c r="E244" s="1" t="s">
        <v>14</v>
      </c>
      <c r="F244" s="1" t="s">
        <v>15</v>
      </c>
      <c r="G244" s="1" t="s">
        <v>17</v>
      </c>
      <c r="H244" s="1">
        <v>5</v>
      </c>
      <c r="I244" s="1" t="s">
        <v>391</v>
      </c>
      <c r="J244" s="1" t="s">
        <v>392</v>
      </c>
      <c r="K244" s="1" t="str">
        <v>Pro Plan</v>
      </c>
      <c r="L244" s="1" t="str">
        <f t="shared" si="0"/>
        <v>Nina Petrov</v>
      </c>
      <c r="M244" s="1" t="str">
        <f t="shared" si="200"/>
        <v>North America</v>
      </c>
      <c r="N244" s="15">
        <f t="shared" ref="N244:O244" si="251">VALUE(SUBSTITUTE(SUBSTITUTE(SUBSTITUTE(I244,"$",""),",",""),".",","))</f>
        <v>249.29</v>
      </c>
      <c r="O244" s="5">
        <f t="shared" si="202"/>
        <v>1246.45</v>
      </c>
    </row>
    <row r="245" spans="1:15" ht="12.5">
      <c r="A245" s="1" t="s">
        <v>237</v>
      </c>
      <c r="B245" s="4">
        <v>45675</v>
      </c>
      <c r="C245" s="1" t="s">
        <v>135</v>
      </c>
      <c r="D245" s="1" t="s">
        <v>24</v>
      </c>
      <c r="E245" s="1" t="s">
        <v>49</v>
      </c>
      <c r="F245" s="1" t="s">
        <v>50</v>
      </c>
      <c r="G245" s="1" t="s">
        <v>17</v>
      </c>
      <c r="H245" s="1">
        <v>1</v>
      </c>
      <c r="I245" s="1" t="s">
        <v>238</v>
      </c>
      <c r="J245" s="1" t="s">
        <v>239</v>
      </c>
      <c r="K245" s="1" t="str">
        <v>Pro Plan</v>
      </c>
      <c r="L245" s="1" t="str">
        <f t="shared" si="0"/>
        <v>James Park</v>
      </c>
      <c r="M245" s="1" t="str">
        <f t="shared" si="200"/>
        <v>North America</v>
      </c>
      <c r="N245" s="15">
        <f t="shared" ref="N245:O245" si="252">VALUE(SUBSTITUTE(SUBSTITUTE(SUBSTITUTE(I245,"$",""),",",""),".",","))</f>
        <v>295.33999999999997</v>
      </c>
      <c r="O245" s="5">
        <f t="shared" si="202"/>
        <v>295.33999999999997</v>
      </c>
    </row>
    <row r="246" spans="1:15" ht="12.5">
      <c r="A246" s="1" t="s">
        <v>185</v>
      </c>
      <c r="B246" s="4">
        <v>45670</v>
      </c>
      <c r="C246" s="1" t="s">
        <v>186</v>
      </c>
      <c r="D246" s="1" t="s">
        <v>24</v>
      </c>
      <c r="E246" s="1" t="s">
        <v>51</v>
      </c>
      <c r="F246" s="1" t="s">
        <v>52</v>
      </c>
      <c r="G246" s="1" t="s">
        <v>17</v>
      </c>
      <c r="H246" s="1">
        <v>5</v>
      </c>
      <c r="I246" s="1" t="s">
        <v>187</v>
      </c>
      <c r="J246" s="1" t="s">
        <v>188</v>
      </c>
      <c r="K246" s="1" t="str">
        <v>Pro Plan</v>
      </c>
      <c r="L246" s="1" t="str">
        <f t="shared" si="0"/>
        <v>Priya Patel</v>
      </c>
      <c r="M246" s="1" t="str">
        <f t="shared" si="200"/>
        <v>North America</v>
      </c>
      <c r="N246" s="15">
        <f t="shared" ref="N246:O246" si="253">VALUE(SUBSTITUTE(SUBSTITUTE(SUBSTITUTE(I246,"$",""),",",""),".",","))</f>
        <v>177.21</v>
      </c>
      <c r="O246" s="5">
        <f t="shared" si="202"/>
        <v>886.05000000000007</v>
      </c>
    </row>
    <row r="247" spans="1:15" ht="12.5">
      <c r="A247" s="1" t="s">
        <v>553</v>
      </c>
      <c r="B247" s="4">
        <v>45716</v>
      </c>
      <c r="C247" s="1" t="s">
        <v>435</v>
      </c>
      <c r="D247" s="1" t="s">
        <v>48</v>
      </c>
      <c r="E247" s="1" t="s">
        <v>30</v>
      </c>
      <c r="F247" s="1" t="s">
        <v>31</v>
      </c>
      <c r="G247" s="1" t="s">
        <v>17</v>
      </c>
      <c r="H247" s="1">
        <v>5</v>
      </c>
      <c r="I247" s="1" t="s">
        <v>555</v>
      </c>
      <c r="J247" s="1" t="s">
        <v>556</v>
      </c>
      <c r="K247" s="1" t="str">
        <v>Business Plan</v>
      </c>
      <c r="L247" s="1" t="str">
        <f t="shared" si="0"/>
        <v>Marcus Johnson</v>
      </c>
      <c r="M247" s="1" t="str">
        <f t="shared" si="200"/>
        <v>North America</v>
      </c>
      <c r="N247" s="15">
        <f t="shared" ref="N247:O247" si="254">VALUE(SUBSTITUTE(SUBSTITUTE(SUBSTITUTE(I247,"$",""),",",""),".",","))</f>
        <v>481.6</v>
      </c>
      <c r="O247" s="5">
        <f t="shared" si="202"/>
        <v>2408</v>
      </c>
    </row>
    <row r="248" spans="1:15" ht="12.5">
      <c r="A248" s="1" t="s">
        <v>415</v>
      </c>
      <c r="B248" s="4">
        <v>45696</v>
      </c>
      <c r="C248" s="1" t="s">
        <v>79</v>
      </c>
      <c r="D248" s="1" t="s">
        <v>37</v>
      </c>
      <c r="E248" s="1" t="s">
        <v>51</v>
      </c>
      <c r="F248" s="1" t="s">
        <v>52</v>
      </c>
      <c r="G248" s="1" t="s">
        <v>39</v>
      </c>
      <c r="H248" s="1">
        <v>20</v>
      </c>
      <c r="I248" s="1" t="s">
        <v>416</v>
      </c>
      <c r="J248" s="1" t="s">
        <v>417</v>
      </c>
      <c r="K248" s="1" t="str">
        <v>Add-on: Support</v>
      </c>
      <c r="L248" s="1" t="str">
        <f t="shared" si="0"/>
        <v>Priya Patel</v>
      </c>
      <c r="M248" s="1" t="str">
        <f t="shared" si="200"/>
        <v>EMEA</v>
      </c>
      <c r="N248" s="15">
        <f t="shared" ref="N248:O248" si="255">VALUE(SUBSTITUTE(SUBSTITUTE(SUBSTITUTE(I248,"$",""),",",""),".",","))</f>
        <v>81.900000000000006</v>
      </c>
      <c r="O248" s="5">
        <f t="shared" si="202"/>
        <v>1638</v>
      </c>
    </row>
    <row r="249" spans="1:15" ht="12.5">
      <c r="A249" s="1" t="s">
        <v>646</v>
      </c>
      <c r="B249" s="4">
        <v>45728</v>
      </c>
      <c r="C249" s="1" t="s">
        <v>100</v>
      </c>
      <c r="D249" s="1" t="s">
        <v>58</v>
      </c>
      <c r="E249" s="1" t="s">
        <v>62</v>
      </c>
      <c r="F249" s="1" t="s">
        <v>31</v>
      </c>
      <c r="G249" s="1" t="s">
        <v>32</v>
      </c>
      <c r="H249" s="1">
        <v>20</v>
      </c>
      <c r="I249" s="1" t="s">
        <v>647</v>
      </c>
      <c r="J249" s="1" t="s">
        <v>648</v>
      </c>
      <c r="K249" s="1" t="str">
        <v>Enterprise Plan</v>
      </c>
      <c r="L249" s="1" t="str">
        <f t="shared" si="0"/>
        <v>David Kim</v>
      </c>
      <c r="M249" s="1" t="str">
        <f t="shared" si="200"/>
        <v>LATAM</v>
      </c>
      <c r="N249" s="15">
        <f t="shared" ref="N249:O249" si="256">VALUE(SUBSTITUTE(SUBSTITUTE(SUBSTITUTE(I249,"$",""),",",""),".",","))</f>
        <v>1203.23</v>
      </c>
      <c r="O249" s="5">
        <f t="shared" si="202"/>
        <v>24064.6</v>
      </c>
    </row>
    <row r="250" spans="1:15" ht="12.5">
      <c r="A250" s="1" t="s">
        <v>55</v>
      </c>
      <c r="B250" s="4">
        <v>45659</v>
      </c>
      <c r="C250" s="1" t="s">
        <v>57</v>
      </c>
      <c r="D250" s="1" t="s">
        <v>58</v>
      </c>
      <c r="E250" s="1" t="s">
        <v>38</v>
      </c>
      <c r="F250" s="1" t="s">
        <v>15</v>
      </c>
      <c r="G250" s="1" t="s">
        <v>17</v>
      </c>
      <c r="H250" s="1">
        <v>1</v>
      </c>
      <c r="I250" s="1" t="s">
        <v>59</v>
      </c>
      <c r="J250" s="1" t="s">
        <v>59</v>
      </c>
      <c r="K250" s="1" t="str">
        <v>Enterprise Plan</v>
      </c>
      <c r="L250" s="1" t="str">
        <f t="shared" si="0"/>
        <v>Elena Rossi</v>
      </c>
      <c r="M250" s="1" t="str">
        <f t="shared" si="200"/>
        <v>North America</v>
      </c>
      <c r="N250" s="15">
        <f t="shared" ref="N250:O250" si="257">VALUE(SUBSTITUTE(SUBSTITUTE(SUBSTITUTE(I250,"$",""),",",""),".",","))</f>
        <v>1198.5899999999999</v>
      </c>
      <c r="O250" s="5">
        <f t="shared" si="202"/>
        <v>1198.5899999999999</v>
      </c>
    </row>
    <row r="251" spans="1:15" ht="12.5">
      <c r="A251" s="1" t="s">
        <v>152</v>
      </c>
      <c r="B251" s="4">
        <v>45667</v>
      </c>
      <c r="C251" s="1" t="s">
        <v>70</v>
      </c>
      <c r="D251" s="1" t="s">
        <v>13</v>
      </c>
      <c r="E251" s="1" t="s">
        <v>49</v>
      </c>
      <c r="F251" s="1" t="s">
        <v>50</v>
      </c>
      <c r="G251" s="1" t="s">
        <v>17</v>
      </c>
      <c r="H251" s="1">
        <v>1</v>
      </c>
      <c r="I251" s="1" t="s">
        <v>153</v>
      </c>
      <c r="J251" s="1" t="s">
        <v>153</v>
      </c>
      <c r="K251" s="1" t="str">
        <v>Starter Plan</v>
      </c>
      <c r="L251" s="1" t="str">
        <f t="shared" si="0"/>
        <v>James Park</v>
      </c>
      <c r="M251" s="1" t="str">
        <f t="shared" si="200"/>
        <v>North America</v>
      </c>
      <c r="N251" s="15">
        <f t="shared" ref="N251:O251" si="258">VALUE(SUBSTITUTE(SUBSTITUTE(SUBSTITUTE(I251,"$",""),",",""),".",","))</f>
        <v>70.61</v>
      </c>
      <c r="O251" s="5">
        <f t="shared" si="202"/>
        <v>70.61</v>
      </c>
    </row>
    <row r="252" spans="1:15" ht="13">
      <c r="K252" s="1" t="str">
        <v/>
      </c>
      <c r="M252" s="1" t="str">
        <f t="shared" si="200"/>
        <v/>
      </c>
      <c r="N252" s="29"/>
      <c r="O252" s="5" t="str">
        <f t="shared" si="202"/>
        <v/>
      </c>
    </row>
    <row r="253" spans="1:15" ht="12.5">
      <c r="K253" s="1" t="str">
        <v/>
      </c>
      <c r="M253" s="1" t="str">
        <f t="shared" si="200"/>
        <v/>
      </c>
      <c r="N253" s="15"/>
      <c r="O253" s="5" t="str">
        <f t="shared" si="202"/>
        <v/>
      </c>
    </row>
    <row r="254" spans="1:15" ht="12.5">
      <c r="K254" s="1" t="str">
        <v/>
      </c>
      <c r="M254" s="1" t="str">
        <f t="shared" si="200"/>
        <v/>
      </c>
      <c r="N254" s="15"/>
      <c r="O254" s="5" t="str">
        <f t="shared" si="202"/>
        <v/>
      </c>
    </row>
    <row r="255" spans="1:15" ht="12.5">
      <c r="K255" s="1" t="str">
        <v/>
      </c>
      <c r="M255" s="1" t="str">
        <f t="shared" si="200"/>
        <v/>
      </c>
      <c r="N255" s="15"/>
      <c r="O255" s="5" t="str">
        <f t="shared" si="202"/>
        <v/>
      </c>
    </row>
    <row r="256" spans="1:15" ht="12.5">
      <c r="K256" s="1" t="str">
        <v/>
      </c>
      <c r="M256" s="1" t="str">
        <f t="shared" si="200"/>
        <v/>
      </c>
      <c r="N256" s="15"/>
      <c r="O256" s="5" t="str">
        <f t="shared" si="202"/>
        <v/>
      </c>
    </row>
    <row r="257" spans="11:15" ht="12.5">
      <c r="K257" s="1" t="str">
        <v/>
      </c>
      <c r="M257" s="1" t="str">
        <f t="shared" si="200"/>
        <v/>
      </c>
      <c r="N257" s="15"/>
      <c r="O257" s="5" t="str">
        <f t="shared" si="202"/>
        <v/>
      </c>
    </row>
    <row r="258" spans="11:15" ht="12.5">
      <c r="K258" s="1" t="str">
        <v/>
      </c>
      <c r="M258" s="1" t="str">
        <f t="shared" si="200"/>
        <v/>
      </c>
      <c r="N258" s="15"/>
      <c r="O258" s="5" t="str">
        <f t="shared" si="202"/>
        <v/>
      </c>
    </row>
    <row r="259" spans="11:15" ht="12.5">
      <c r="K259" s="1" t="str">
        <v/>
      </c>
      <c r="M259" s="1" t="str">
        <f t="shared" ref="M259:M322" si="259">IF(G259="","",IF(LOWER(TRIM(G259))="north america","North America",IF(LOWER(TRIM(G259))="emea","EMEA",IF(LOWER(TRIM(G259))="apac","APAC",IF(LOWER(TRIM(G259))="latam","LATAM",TRIM(G259))))))</f>
        <v/>
      </c>
      <c r="N259" s="15"/>
      <c r="O259" s="5" t="str">
        <f t="shared" ref="O259:O322" si="260">IF(OR(H259="",N259=""),"",H259*N259)</f>
        <v/>
      </c>
    </row>
    <row r="260" spans="11:15" ht="12.5">
      <c r="K260" s="1" t="str">
        <v/>
      </c>
      <c r="M260" s="1" t="str">
        <f t="shared" si="259"/>
        <v/>
      </c>
      <c r="N260" s="15"/>
      <c r="O260" s="5" t="str">
        <f t="shared" si="260"/>
        <v/>
      </c>
    </row>
    <row r="261" spans="11:15" ht="12.5">
      <c r="K261" s="1" t="str">
        <v/>
      </c>
      <c r="M261" s="1" t="str">
        <f t="shared" si="259"/>
        <v/>
      </c>
      <c r="N261" s="15"/>
      <c r="O261" s="5" t="str">
        <f t="shared" si="260"/>
        <v/>
      </c>
    </row>
    <row r="262" spans="11:15" ht="12.5">
      <c r="K262" s="1" t="str">
        <v/>
      </c>
      <c r="M262" s="1" t="str">
        <f t="shared" si="259"/>
        <v/>
      </c>
      <c r="N262" s="15"/>
      <c r="O262" s="5" t="str">
        <f t="shared" si="260"/>
        <v/>
      </c>
    </row>
    <row r="263" spans="11:15" ht="12.5">
      <c r="K263" s="1" t="str">
        <v/>
      </c>
      <c r="M263" s="1" t="str">
        <f t="shared" si="259"/>
        <v/>
      </c>
      <c r="N263" s="15"/>
      <c r="O263" s="5" t="str">
        <f t="shared" si="260"/>
        <v/>
      </c>
    </row>
    <row r="264" spans="11:15" ht="12.5">
      <c r="K264" s="1" t="str">
        <v/>
      </c>
      <c r="M264" s="1" t="str">
        <f t="shared" si="259"/>
        <v/>
      </c>
      <c r="N264" s="15"/>
      <c r="O264" s="5" t="str">
        <f t="shared" si="260"/>
        <v/>
      </c>
    </row>
    <row r="265" spans="11:15" ht="12.5">
      <c r="K265" s="1" t="str">
        <v/>
      </c>
      <c r="M265" s="1" t="str">
        <f t="shared" si="259"/>
        <v/>
      </c>
      <c r="N265" s="15"/>
      <c r="O265" s="5" t="str">
        <f t="shared" si="260"/>
        <v/>
      </c>
    </row>
    <row r="266" spans="11:15" ht="12.5">
      <c r="K266" s="1" t="str">
        <v/>
      </c>
      <c r="M266" s="1" t="str">
        <f t="shared" si="259"/>
        <v/>
      </c>
      <c r="N266" s="15"/>
      <c r="O266" s="5" t="str">
        <f t="shared" si="260"/>
        <v/>
      </c>
    </row>
    <row r="267" spans="11:15" ht="12.5">
      <c r="K267" s="1" t="str">
        <v/>
      </c>
      <c r="M267" s="1" t="str">
        <f t="shared" si="259"/>
        <v/>
      </c>
      <c r="N267" s="15"/>
      <c r="O267" s="5" t="str">
        <f t="shared" si="260"/>
        <v/>
      </c>
    </row>
    <row r="268" spans="11:15" ht="12.5">
      <c r="K268" s="1" t="str">
        <v/>
      </c>
      <c r="M268" s="1" t="str">
        <f t="shared" si="259"/>
        <v/>
      </c>
      <c r="N268" s="15"/>
      <c r="O268" s="5" t="str">
        <f t="shared" si="260"/>
        <v/>
      </c>
    </row>
    <row r="269" spans="11:15" ht="12.5">
      <c r="K269" s="1" t="str">
        <v/>
      </c>
      <c r="M269" s="1" t="str">
        <f t="shared" si="259"/>
        <v/>
      </c>
      <c r="N269" s="15"/>
      <c r="O269" s="5" t="str">
        <f t="shared" si="260"/>
        <v/>
      </c>
    </row>
    <row r="270" spans="11:15" ht="12.5">
      <c r="K270" s="1" t="str">
        <v/>
      </c>
      <c r="M270" s="1" t="str">
        <f t="shared" si="259"/>
        <v/>
      </c>
      <c r="N270" s="15"/>
      <c r="O270" s="5" t="str">
        <f t="shared" si="260"/>
        <v/>
      </c>
    </row>
    <row r="271" spans="11:15" ht="12.5">
      <c r="K271" s="1" t="str">
        <v/>
      </c>
      <c r="M271" s="1" t="str">
        <f t="shared" si="259"/>
        <v/>
      </c>
      <c r="N271" s="15"/>
      <c r="O271" s="5" t="str">
        <f t="shared" si="260"/>
        <v/>
      </c>
    </row>
    <row r="272" spans="11:15" ht="12.5">
      <c r="K272" s="1" t="str">
        <v/>
      </c>
      <c r="M272" s="1" t="str">
        <f t="shared" si="259"/>
        <v/>
      </c>
      <c r="N272" s="15"/>
      <c r="O272" s="5" t="str">
        <f t="shared" si="260"/>
        <v/>
      </c>
    </row>
    <row r="273" spans="11:15" ht="12.5">
      <c r="K273" s="1" t="str">
        <v/>
      </c>
      <c r="M273" s="1" t="str">
        <f t="shared" si="259"/>
        <v/>
      </c>
      <c r="N273" s="15"/>
      <c r="O273" s="5" t="str">
        <f t="shared" si="260"/>
        <v/>
      </c>
    </row>
    <row r="274" spans="11:15" ht="12.5">
      <c r="K274" s="1" t="str">
        <v/>
      </c>
      <c r="M274" s="1" t="str">
        <f t="shared" si="259"/>
        <v/>
      </c>
      <c r="N274" s="15"/>
      <c r="O274" s="5" t="str">
        <f t="shared" si="260"/>
        <v/>
      </c>
    </row>
    <row r="275" spans="11:15" ht="12.5">
      <c r="K275" s="1" t="str">
        <v/>
      </c>
      <c r="M275" s="1" t="str">
        <f t="shared" si="259"/>
        <v/>
      </c>
      <c r="N275" s="15"/>
      <c r="O275" s="5" t="str">
        <f t="shared" si="260"/>
        <v/>
      </c>
    </row>
    <row r="276" spans="11:15" ht="12.5">
      <c r="K276" s="1" t="str">
        <v/>
      </c>
      <c r="M276" s="1" t="str">
        <f t="shared" si="259"/>
        <v/>
      </c>
      <c r="N276" s="15"/>
      <c r="O276" s="5" t="str">
        <f t="shared" si="260"/>
        <v/>
      </c>
    </row>
    <row r="277" spans="11:15" ht="12.5">
      <c r="K277" s="1" t="str">
        <v/>
      </c>
      <c r="M277" s="1" t="str">
        <f t="shared" si="259"/>
        <v/>
      </c>
      <c r="N277" s="15"/>
      <c r="O277" s="5" t="str">
        <f t="shared" si="260"/>
        <v/>
      </c>
    </row>
    <row r="278" spans="11:15" ht="12.5">
      <c r="K278" s="1" t="str">
        <v/>
      </c>
      <c r="M278" s="1" t="str">
        <f t="shared" si="259"/>
        <v/>
      </c>
      <c r="N278" s="15"/>
      <c r="O278" s="5" t="str">
        <f t="shared" si="260"/>
        <v/>
      </c>
    </row>
    <row r="279" spans="11:15" ht="12.5">
      <c r="K279" s="1" t="str">
        <v/>
      </c>
      <c r="M279" s="1" t="str">
        <f t="shared" si="259"/>
        <v/>
      </c>
      <c r="N279" s="15"/>
      <c r="O279" s="5" t="str">
        <f t="shared" si="260"/>
        <v/>
      </c>
    </row>
    <row r="280" spans="11:15" ht="12.5">
      <c r="K280" s="1" t="str">
        <v/>
      </c>
      <c r="M280" s="1" t="str">
        <f t="shared" si="259"/>
        <v/>
      </c>
      <c r="N280" s="15"/>
      <c r="O280" s="5" t="str">
        <f t="shared" si="260"/>
        <v/>
      </c>
    </row>
    <row r="281" spans="11:15" ht="12.5">
      <c r="K281" s="1" t="str">
        <v/>
      </c>
      <c r="M281" s="1" t="str">
        <f t="shared" si="259"/>
        <v/>
      </c>
      <c r="N281" s="15"/>
      <c r="O281" s="5" t="str">
        <f t="shared" si="260"/>
        <v/>
      </c>
    </row>
    <row r="282" spans="11:15" ht="12.5">
      <c r="K282" s="1" t="str">
        <v/>
      </c>
      <c r="M282" s="1" t="str">
        <f t="shared" si="259"/>
        <v/>
      </c>
      <c r="N282" s="15"/>
      <c r="O282" s="5" t="str">
        <f t="shared" si="260"/>
        <v/>
      </c>
    </row>
    <row r="283" spans="11:15" ht="12.5">
      <c r="K283" s="1" t="str">
        <v/>
      </c>
      <c r="M283" s="1" t="str">
        <f t="shared" si="259"/>
        <v/>
      </c>
      <c r="N283" s="15"/>
      <c r="O283" s="5" t="str">
        <f t="shared" si="260"/>
        <v/>
      </c>
    </row>
    <row r="284" spans="11:15" ht="12.5">
      <c r="K284" s="1" t="str">
        <v/>
      </c>
      <c r="M284" s="1" t="str">
        <f t="shared" si="259"/>
        <v/>
      </c>
      <c r="N284" s="15"/>
      <c r="O284" s="5" t="str">
        <f t="shared" si="260"/>
        <v/>
      </c>
    </row>
    <row r="285" spans="11:15" ht="12.5">
      <c r="K285" s="1" t="str">
        <v/>
      </c>
      <c r="M285" s="1" t="str">
        <f t="shared" si="259"/>
        <v/>
      </c>
      <c r="N285" s="15"/>
      <c r="O285" s="5" t="str">
        <f t="shared" si="260"/>
        <v/>
      </c>
    </row>
    <row r="286" spans="11:15" ht="12.5">
      <c r="K286" s="1" t="str">
        <v/>
      </c>
      <c r="M286" s="1" t="str">
        <f t="shared" si="259"/>
        <v/>
      </c>
      <c r="N286" s="15"/>
      <c r="O286" s="5" t="str">
        <f t="shared" si="260"/>
        <v/>
      </c>
    </row>
    <row r="287" spans="11:15" ht="12.5">
      <c r="K287" s="1" t="str">
        <v/>
      </c>
      <c r="M287" s="1" t="str">
        <f t="shared" si="259"/>
        <v/>
      </c>
      <c r="N287" s="15"/>
      <c r="O287" s="5" t="str">
        <f t="shared" si="260"/>
        <v/>
      </c>
    </row>
    <row r="288" spans="11:15" ht="12.5">
      <c r="K288" s="1" t="str">
        <v/>
      </c>
      <c r="M288" s="1" t="str">
        <f t="shared" si="259"/>
        <v/>
      </c>
      <c r="N288" s="15"/>
      <c r="O288" s="5" t="str">
        <f t="shared" si="260"/>
        <v/>
      </c>
    </row>
    <row r="289" spans="11:15" ht="12.5">
      <c r="K289" s="1" t="str">
        <v/>
      </c>
      <c r="M289" s="1" t="str">
        <f t="shared" si="259"/>
        <v/>
      </c>
      <c r="N289" s="15"/>
      <c r="O289" s="5" t="str">
        <f t="shared" si="260"/>
        <v/>
      </c>
    </row>
    <row r="290" spans="11:15" ht="12.5">
      <c r="K290" s="1" t="str">
        <v/>
      </c>
      <c r="M290" s="1" t="str">
        <f t="shared" si="259"/>
        <v/>
      </c>
      <c r="N290" s="15"/>
      <c r="O290" s="5" t="str">
        <f t="shared" si="260"/>
        <v/>
      </c>
    </row>
    <row r="291" spans="11:15" ht="12.5">
      <c r="K291" s="1" t="str">
        <v/>
      </c>
      <c r="M291" s="1" t="str">
        <f t="shared" si="259"/>
        <v/>
      </c>
      <c r="N291" s="15"/>
      <c r="O291" s="5" t="str">
        <f t="shared" si="260"/>
        <v/>
      </c>
    </row>
    <row r="292" spans="11:15" ht="12.5">
      <c r="K292" s="1" t="str">
        <v/>
      </c>
      <c r="M292" s="1" t="str">
        <f t="shared" si="259"/>
        <v/>
      </c>
      <c r="N292" s="15"/>
      <c r="O292" s="5" t="str">
        <f t="shared" si="260"/>
        <v/>
      </c>
    </row>
    <row r="293" spans="11:15" ht="12.5">
      <c r="K293" s="1" t="str">
        <v/>
      </c>
      <c r="M293" s="1" t="str">
        <f t="shared" si="259"/>
        <v/>
      </c>
      <c r="N293" s="15"/>
      <c r="O293" s="5" t="str">
        <f t="shared" si="260"/>
        <v/>
      </c>
    </row>
    <row r="294" spans="11:15" ht="12.5">
      <c r="K294" s="1" t="str">
        <v/>
      </c>
      <c r="M294" s="1" t="str">
        <f t="shared" si="259"/>
        <v/>
      </c>
      <c r="N294" s="15"/>
      <c r="O294" s="5" t="str">
        <f t="shared" si="260"/>
        <v/>
      </c>
    </row>
    <row r="295" spans="11:15" ht="12.5">
      <c r="K295" s="1" t="str">
        <v/>
      </c>
      <c r="M295" s="1" t="str">
        <f t="shared" si="259"/>
        <v/>
      </c>
      <c r="N295" s="15"/>
      <c r="O295" s="5" t="str">
        <f t="shared" si="260"/>
        <v/>
      </c>
    </row>
    <row r="296" spans="11:15" ht="12.5">
      <c r="K296" s="1" t="str">
        <v/>
      </c>
      <c r="M296" s="1" t="str">
        <f t="shared" si="259"/>
        <v/>
      </c>
      <c r="N296" s="15"/>
      <c r="O296" s="5" t="str">
        <f t="shared" si="260"/>
        <v/>
      </c>
    </row>
    <row r="297" spans="11:15" ht="12.5">
      <c r="K297" s="1" t="str">
        <v/>
      </c>
      <c r="M297" s="1" t="str">
        <f t="shared" si="259"/>
        <v/>
      </c>
      <c r="N297" s="15"/>
      <c r="O297" s="5" t="str">
        <f t="shared" si="260"/>
        <v/>
      </c>
    </row>
    <row r="298" spans="11:15" ht="12.5">
      <c r="K298" s="1" t="str">
        <v/>
      </c>
      <c r="M298" s="1" t="str">
        <f t="shared" si="259"/>
        <v/>
      </c>
      <c r="N298" s="15"/>
      <c r="O298" s="5" t="str">
        <f t="shared" si="260"/>
        <v/>
      </c>
    </row>
    <row r="299" spans="11:15" ht="12.5">
      <c r="K299" s="1" t="str">
        <v/>
      </c>
      <c r="M299" s="1" t="str">
        <f t="shared" si="259"/>
        <v/>
      </c>
      <c r="N299" s="15"/>
      <c r="O299" s="5" t="str">
        <f t="shared" si="260"/>
        <v/>
      </c>
    </row>
    <row r="300" spans="11:15" ht="12.5">
      <c r="K300" s="1" t="str">
        <v/>
      </c>
      <c r="M300" s="1" t="str">
        <f t="shared" si="259"/>
        <v/>
      </c>
      <c r="N300" s="15"/>
      <c r="O300" s="5" t="str">
        <f t="shared" si="260"/>
        <v/>
      </c>
    </row>
    <row r="301" spans="11:15" ht="12.5">
      <c r="K301" s="1" t="str">
        <v/>
      </c>
      <c r="M301" s="1" t="str">
        <f t="shared" si="259"/>
        <v/>
      </c>
      <c r="N301" s="15"/>
      <c r="O301" s="5" t="str">
        <f t="shared" si="260"/>
        <v/>
      </c>
    </row>
    <row r="302" spans="11:15" ht="12.5">
      <c r="K302" s="1" t="str">
        <v/>
      </c>
      <c r="M302" s="1" t="str">
        <f t="shared" si="259"/>
        <v/>
      </c>
      <c r="N302" s="15"/>
      <c r="O302" s="5" t="str">
        <f t="shared" si="260"/>
        <v/>
      </c>
    </row>
    <row r="303" spans="11:15" ht="12.5">
      <c r="K303" s="1" t="str">
        <v/>
      </c>
      <c r="M303" s="1" t="str">
        <f t="shared" si="259"/>
        <v/>
      </c>
      <c r="N303" s="15"/>
      <c r="O303" s="5" t="str">
        <f t="shared" si="260"/>
        <v/>
      </c>
    </row>
    <row r="304" spans="11:15" ht="12.5">
      <c r="K304" s="1" t="str">
        <v/>
      </c>
      <c r="M304" s="1" t="str">
        <f t="shared" si="259"/>
        <v/>
      </c>
      <c r="N304" s="15"/>
      <c r="O304" s="5" t="str">
        <f t="shared" si="260"/>
        <v/>
      </c>
    </row>
    <row r="305" spans="11:15" ht="12.5">
      <c r="K305" s="1" t="str">
        <v/>
      </c>
      <c r="M305" s="1" t="str">
        <f t="shared" si="259"/>
        <v/>
      </c>
      <c r="N305" s="15"/>
      <c r="O305" s="5" t="str">
        <f t="shared" si="260"/>
        <v/>
      </c>
    </row>
    <row r="306" spans="11:15" ht="12.5">
      <c r="K306" s="1" t="str">
        <v/>
      </c>
      <c r="M306" s="1" t="str">
        <f t="shared" si="259"/>
        <v/>
      </c>
      <c r="N306" s="15"/>
      <c r="O306" s="5" t="str">
        <f t="shared" si="260"/>
        <v/>
      </c>
    </row>
    <row r="307" spans="11:15" ht="12.5">
      <c r="K307" s="1" t="str">
        <v/>
      </c>
      <c r="M307" s="1" t="str">
        <f t="shared" si="259"/>
        <v/>
      </c>
      <c r="N307" s="15"/>
      <c r="O307" s="5" t="str">
        <f t="shared" si="260"/>
        <v/>
      </c>
    </row>
    <row r="308" spans="11:15" ht="12.5">
      <c r="K308" s="1" t="str">
        <v/>
      </c>
      <c r="M308" s="1" t="str">
        <f t="shared" si="259"/>
        <v/>
      </c>
      <c r="N308" s="15"/>
      <c r="O308" s="5" t="str">
        <f t="shared" si="260"/>
        <v/>
      </c>
    </row>
    <row r="309" spans="11:15" ht="12.5">
      <c r="K309" s="1" t="str">
        <v/>
      </c>
      <c r="M309" s="1" t="str">
        <f t="shared" si="259"/>
        <v/>
      </c>
      <c r="N309" s="15"/>
      <c r="O309" s="5" t="str">
        <f t="shared" si="260"/>
        <v/>
      </c>
    </row>
    <row r="310" spans="11:15" ht="12.5">
      <c r="K310" s="1" t="str">
        <v/>
      </c>
      <c r="M310" s="1" t="str">
        <f t="shared" si="259"/>
        <v/>
      </c>
      <c r="N310" s="15"/>
      <c r="O310" s="5" t="str">
        <f t="shared" si="260"/>
        <v/>
      </c>
    </row>
    <row r="311" spans="11:15" ht="12.5">
      <c r="K311" s="1" t="str">
        <v/>
      </c>
      <c r="M311" s="1" t="str">
        <f t="shared" si="259"/>
        <v/>
      </c>
      <c r="N311" s="15"/>
      <c r="O311" s="5" t="str">
        <f t="shared" si="260"/>
        <v/>
      </c>
    </row>
    <row r="312" spans="11:15" ht="12.5">
      <c r="K312" s="1" t="str">
        <v/>
      </c>
      <c r="M312" s="1" t="str">
        <f t="shared" si="259"/>
        <v/>
      </c>
      <c r="N312" s="15"/>
      <c r="O312" s="5" t="str">
        <f t="shared" si="260"/>
        <v/>
      </c>
    </row>
    <row r="313" spans="11:15" ht="12.5">
      <c r="K313" s="1" t="str">
        <v/>
      </c>
      <c r="M313" s="1" t="str">
        <f t="shared" si="259"/>
        <v/>
      </c>
      <c r="N313" s="15"/>
      <c r="O313" s="5" t="str">
        <f t="shared" si="260"/>
        <v/>
      </c>
    </row>
    <row r="314" spans="11:15" ht="12.5">
      <c r="K314" s="1" t="str">
        <v/>
      </c>
      <c r="M314" s="1" t="str">
        <f t="shared" si="259"/>
        <v/>
      </c>
      <c r="N314" s="15"/>
      <c r="O314" s="5" t="str">
        <f t="shared" si="260"/>
        <v/>
      </c>
    </row>
    <row r="315" spans="11:15" ht="12.5">
      <c r="K315" s="1" t="str">
        <v/>
      </c>
      <c r="M315" s="1" t="str">
        <f t="shared" si="259"/>
        <v/>
      </c>
      <c r="N315" s="15"/>
      <c r="O315" s="5" t="str">
        <f t="shared" si="260"/>
        <v/>
      </c>
    </row>
    <row r="316" spans="11:15" ht="12.5">
      <c r="K316" s="1" t="str">
        <v/>
      </c>
      <c r="M316" s="1" t="str">
        <f t="shared" si="259"/>
        <v/>
      </c>
      <c r="N316" s="15"/>
      <c r="O316" s="5" t="str">
        <f t="shared" si="260"/>
        <v/>
      </c>
    </row>
    <row r="317" spans="11:15" ht="12.5">
      <c r="K317" s="1" t="str">
        <v/>
      </c>
      <c r="M317" s="1" t="str">
        <f t="shared" si="259"/>
        <v/>
      </c>
      <c r="N317" s="15"/>
      <c r="O317" s="5" t="str">
        <f t="shared" si="260"/>
        <v/>
      </c>
    </row>
    <row r="318" spans="11:15" ht="12.5">
      <c r="K318" s="1" t="str">
        <v/>
      </c>
      <c r="M318" s="1" t="str">
        <f t="shared" si="259"/>
        <v/>
      </c>
      <c r="N318" s="15"/>
      <c r="O318" s="5" t="str">
        <f t="shared" si="260"/>
        <v/>
      </c>
    </row>
    <row r="319" spans="11:15" ht="12.5">
      <c r="K319" s="1" t="str">
        <v/>
      </c>
      <c r="M319" s="1" t="str">
        <f t="shared" si="259"/>
        <v/>
      </c>
      <c r="N319" s="15"/>
      <c r="O319" s="5" t="str">
        <f t="shared" si="260"/>
        <v/>
      </c>
    </row>
    <row r="320" spans="11:15" ht="12.5">
      <c r="K320" s="1" t="str">
        <v/>
      </c>
      <c r="M320" s="1" t="str">
        <f t="shared" si="259"/>
        <v/>
      </c>
      <c r="N320" s="15"/>
      <c r="O320" s="5" t="str">
        <f t="shared" si="260"/>
        <v/>
      </c>
    </row>
    <row r="321" spans="11:15" ht="12.5">
      <c r="K321" s="1" t="str">
        <v/>
      </c>
      <c r="M321" s="1" t="str">
        <f t="shared" si="259"/>
        <v/>
      </c>
      <c r="N321" s="15"/>
      <c r="O321" s="5" t="str">
        <f t="shared" si="260"/>
        <v/>
      </c>
    </row>
    <row r="322" spans="11:15" ht="12.5">
      <c r="K322" s="1" t="str">
        <v/>
      </c>
      <c r="M322" s="1" t="str">
        <f t="shared" si="259"/>
        <v/>
      </c>
      <c r="N322" s="15"/>
      <c r="O322" s="5" t="str">
        <f t="shared" si="260"/>
        <v/>
      </c>
    </row>
    <row r="323" spans="11:15" ht="12.5">
      <c r="K323" s="1" t="str">
        <v/>
      </c>
      <c r="M323" s="1" t="str">
        <f t="shared" ref="M323:M386" si="261">IF(G323="","",IF(LOWER(TRIM(G323))="north america","North America",IF(LOWER(TRIM(G323))="emea","EMEA",IF(LOWER(TRIM(G323))="apac","APAC",IF(LOWER(TRIM(G323))="latam","LATAM",TRIM(G323))))))</f>
        <v/>
      </c>
      <c r="N323" s="15"/>
      <c r="O323" s="5" t="str">
        <f t="shared" ref="O323:O386" si="262">IF(OR(H323="",N323=""),"",H323*N323)</f>
        <v/>
      </c>
    </row>
    <row r="324" spans="11:15" ht="12.5">
      <c r="K324" s="1" t="str">
        <v/>
      </c>
      <c r="M324" s="1" t="str">
        <f t="shared" si="261"/>
        <v/>
      </c>
      <c r="N324" s="15"/>
      <c r="O324" s="5" t="str">
        <f t="shared" si="262"/>
        <v/>
      </c>
    </row>
    <row r="325" spans="11:15" ht="12.5">
      <c r="K325" s="1" t="str">
        <v/>
      </c>
      <c r="M325" s="1" t="str">
        <f t="shared" si="261"/>
        <v/>
      </c>
      <c r="N325" s="15"/>
      <c r="O325" s="5" t="str">
        <f t="shared" si="262"/>
        <v/>
      </c>
    </row>
    <row r="326" spans="11:15" ht="12.5">
      <c r="K326" s="1" t="str">
        <v/>
      </c>
      <c r="M326" s="1" t="str">
        <f t="shared" si="261"/>
        <v/>
      </c>
      <c r="N326" s="15"/>
      <c r="O326" s="5" t="str">
        <f t="shared" si="262"/>
        <v/>
      </c>
    </row>
    <row r="327" spans="11:15" ht="12.5">
      <c r="K327" s="1" t="str">
        <v/>
      </c>
      <c r="M327" s="1" t="str">
        <f t="shared" si="261"/>
        <v/>
      </c>
      <c r="N327" s="15"/>
      <c r="O327" s="5" t="str">
        <f t="shared" si="262"/>
        <v/>
      </c>
    </row>
    <row r="328" spans="11:15" ht="12.5">
      <c r="K328" s="1" t="str">
        <v/>
      </c>
      <c r="M328" s="1" t="str">
        <f t="shared" si="261"/>
        <v/>
      </c>
      <c r="N328" s="15"/>
      <c r="O328" s="5" t="str">
        <f t="shared" si="262"/>
        <v/>
      </c>
    </row>
    <row r="329" spans="11:15" ht="12.5">
      <c r="K329" s="1" t="str">
        <v/>
      </c>
      <c r="M329" s="1" t="str">
        <f t="shared" si="261"/>
        <v/>
      </c>
      <c r="N329" s="15"/>
      <c r="O329" s="5" t="str">
        <f t="shared" si="262"/>
        <v/>
      </c>
    </row>
    <row r="330" spans="11:15" ht="12.5">
      <c r="K330" s="1" t="str">
        <v/>
      </c>
      <c r="M330" s="1" t="str">
        <f t="shared" si="261"/>
        <v/>
      </c>
      <c r="N330" s="15"/>
      <c r="O330" s="5" t="str">
        <f t="shared" si="262"/>
        <v/>
      </c>
    </row>
    <row r="331" spans="11:15" ht="12.5">
      <c r="K331" s="1" t="str">
        <v/>
      </c>
      <c r="M331" s="1" t="str">
        <f t="shared" si="261"/>
        <v/>
      </c>
      <c r="N331" s="15"/>
      <c r="O331" s="5" t="str">
        <f t="shared" si="262"/>
        <v/>
      </c>
    </row>
    <row r="332" spans="11:15" ht="12.5">
      <c r="K332" s="1" t="str">
        <v/>
      </c>
      <c r="M332" s="1" t="str">
        <f t="shared" si="261"/>
        <v/>
      </c>
      <c r="N332" s="15"/>
      <c r="O332" s="5" t="str">
        <f t="shared" si="262"/>
        <v/>
      </c>
    </row>
    <row r="333" spans="11:15" ht="12.5">
      <c r="K333" s="1" t="str">
        <v/>
      </c>
      <c r="M333" s="1" t="str">
        <f t="shared" si="261"/>
        <v/>
      </c>
      <c r="N333" s="15"/>
      <c r="O333" s="5" t="str">
        <f t="shared" si="262"/>
        <v/>
      </c>
    </row>
    <row r="334" spans="11:15" ht="12.5">
      <c r="K334" s="1" t="str">
        <v/>
      </c>
      <c r="M334" s="1" t="str">
        <f t="shared" si="261"/>
        <v/>
      </c>
      <c r="N334" s="15"/>
      <c r="O334" s="5" t="str">
        <f t="shared" si="262"/>
        <v/>
      </c>
    </row>
    <row r="335" spans="11:15" ht="12.5">
      <c r="K335" s="1" t="str">
        <v/>
      </c>
      <c r="M335" s="1" t="str">
        <f t="shared" si="261"/>
        <v/>
      </c>
      <c r="N335" s="15"/>
      <c r="O335" s="5" t="str">
        <f t="shared" si="262"/>
        <v/>
      </c>
    </row>
    <row r="336" spans="11:15" ht="12.5">
      <c r="K336" s="1" t="str">
        <v/>
      </c>
      <c r="M336" s="1" t="str">
        <f t="shared" si="261"/>
        <v/>
      </c>
      <c r="N336" s="15"/>
      <c r="O336" s="5" t="str">
        <f t="shared" si="262"/>
        <v/>
      </c>
    </row>
    <row r="337" spans="11:15" ht="12.5">
      <c r="K337" s="1" t="str">
        <v/>
      </c>
      <c r="M337" s="1" t="str">
        <f t="shared" si="261"/>
        <v/>
      </c>
      <c r="N337" s="15"/>
      <c r="O337" s="5" t="str">
        <f t="shared" si="262"/>
        <v/>
      </c>
    </row>
    <row r="338" spans="11:15" ht="12.5">
      <c r="K338" s="1" t="str">
        <v/>
      </c>
      <c r="M338" s="1" t="str">
        <f t="shared" si="261"/>
        <v/>
      </c>
      <c r="N338" s="15"/>
      <c r="O338" s="5" t="str">
        <f t="shared" si="262"/>
        <v/>
      </c>
    </row>
    <row r="339" spans="11:15" ht="12.5">
      <c r="K339" s="1" t="str">
        <v/>
      </c>
      <c r="M339" s="1" t="str">
        <f t="shared" si="261"/>
        <v/>
      </c>
      <c r="N339" s="15"/>
      <c r="O339" s="5" t="str">
        <f t="shared" si="262"/>
        <v/>
      </c>
    </row>
    <row r="340" spans="11:15" ht="12.5">
      <c r="K340" s="1" t="str">
        <v/>
      </c>
      <c r="M340" s="1" t="str">
        <f t="shared" si="261"/>
        <v/>
      </c>
      <c r="N340" s="15"/>
      <c r="O340" s="5" t="str">
        <f t="shared" si="262"/>
        <v/>
      </c>
    </row>
    <row r="341" spans="11:15" ht="12.5">
      <c r="K341" s="1" t="str">
        <v/>
      </c>
      <c r="M341" s="1" t="str">
        <f t="shared" si="261"/>
        <v/>
      </c>
      <c r="N341" s="15"/>
      <c r="O341" s="5" t="str">
        <f t="shared" si="262"/>
        <v/>
      </c>
    </row>
    <row r="342" spans="11:15" ht="12.5">
      <c r="K342" s="1" t="str">
        <v/>
      </c>
      <c r="M342" s="1" t="str">
        <f t="shared" si="261"/>
        <v/>
      </c>
      <c r="N342" s="15"/>
      <c r="O342" s="5" t="str">
        <f t="shared" si="262"/>
        <v/>
      </c>
    </row>
    <row r="343" spans="11:15" ht="12.5">
      <c r="K343" s="1" t="str">
        <v/>
      </c>
      <c r="M343" s="1" t="str">
        <f t="shared" si="261"/>
        <v/>
      </c>
      <c r="N343" s="15"/>
      <c r="O343" s="5" t="str">
        <f t="shared" si="262"/>
        <v/>
      </c>
    </row>
    <row r="344" spans="11:15" ht="12.5">
      <c r="K344" s="1" t="str">
        <v/>
      </c>
      <c r="M344" s="1" t="str">
        <f t="shared" si="261"/>
        <v/>
      </c>
      <c r="N344" s="15"/>
      <c r="O344" s="5" t="str">
        <f t="shared" si="262"/>
        <v/>
      </c>
    </row>
    <row r="345" spans="11:15" ht="12.5">
      <c r="K345" s="1" t="str">
        <v/>
      </c>
      <c r="M345" s="1" t="str">
        <f t="shared" si="261"/>
        <v/>
      </c>
      <c r="N345" s="15"/>
      <c r="O345" s="5" t="str">
        <f t="shared" si="262"/>
        <v/>
      </c>
    </row>
    <row r="346" spans="11:15" ht="12.5">
      <c r="K346" s="1" t="str">
        <v/>
      </c>
      <c r="M346" s="1" t="str">
        <f t="shared" si="261"/>
        <v/>
      </c>
      <c r="N346" s="15"/>
      <c r="O346" s="5" t="str">
        <f t="shared" si="262"/>
        <v/>
      </c>
    </row>
    <row r="347" spans="11:15" ht="12.5">
      <c r="K347" s="1" t="str">
        <v/>
      </c>
      <c r="M347" s="1" t="str">
        <f t="shared" si="261"/>
        <v/>
      </c>
      <c r="N347" s="15"/>
      <c r="O347" s="5" t="str">
        <f t="shared" si="262"/>
        <v/>
      </c>
    </row>
    <row r="348" spans="11:15" ht="12.5">
      <c r="K348" s="1" t="str">
        <v/>
      </c>
      <c r="M348" s="1" t="str">
        <f t="shared" si="261"/>
        <v/>
      </c>
      <c r="N348" s="15"/>
      <c r="O348" s="5" t="str">
        <f t="shared" si="262"/>
        <v/>
      </c>
    </row>
    <row r="349" spans="11:15" ht="12.5">
      <c r="K349" s="1" t="str">
        <v/>
      </c>
      <c r="M349" s="1" t="str">
        <f t="shared" si="261"/>
        <v/>
      </c>
      <c r="N349" s="15"/>
      <c r="O349" s="5" t="str">
        <f t="shared" si="262"/>
        <v/>
      </c>
    </row>
    <row r="350" spans="11:15" ht="12.5">
      <c r="K350" s="1" t="str">
        <v/>
      </c>
      <c r="M350" s="1" t="str">
        <f t="shared" si="261"/>
        <v/>
      </c>
      <c r="N350" s="15"/>
      <c r="O350" s="5" t="str">
        <f t="shared" si="262"/>
        <v/>
      </c>
    </row>
    <row r="351" spans="11:15" ht="12.5">
      <c r="K351" s="1" t="str">
        <v/>
      </c>
      <c r="M351" s="1" t="str">
        <f t="shared" si="261"/>
        <v/>
      </c>
      <c r="N351" s="15"/>
      <c r="O351" s="5" t="str">
        <f t="shared" si="262"/>
        <v/>
      </c>
    </row>
    <row r="352" spans="11:15" ht="12.5">
      <c r="K352" s="1" t="str">
        <v/>
      </c>
      <c r="M352" s="1" t="str">
        <f t="shared" si="261"/>
        <v/>
      </c>
      <c r="N352" s="15"/>
      <c r="O352" s="5" t="str">
        <f t="shared" si="262"/>
        <v/>
      </c>
    </row>
    <row r="353" spans="11:15" ht="12.5">
      <c r="K353" s="1" t="str">
        <v/>
      </c>
      <c r="M353" s="1" t="str">
        <f t="shared" si="261"/>
        <v/>
      </c>
      <c r="N353" s="15"/>
      <c r="O353" s="5" t="str">
        <f t="shared" si="262"/>
        <v/>
      </c>
    </row>
    <row r="354" spans="11:15" ht="12.5">
      <c r="K354" s="1" t="str">
        <v/>
      </c>
      <c r="M354" s="1" t="str">
        <f t="shared" si="261"/>
        <v/>
      </c>
      <c r="N354" s="15"/>
      <c r="O354" s="5" t="str">
        <f t="shared" si="262"/>
        <v/>
      </c>
    </row>
    <row r="355" spans="11:15" ht="12.5">
      <c r="K355" s="1" t="str">
        <v/>
      </c>
      <c r="M355" s="1" t="str">
        <f t="shared" si="261"/>
        <v/>
      </c>
      <c r="N355" s="15"/>
      <c r="O355" s="5" t="str">
        <f t="shared" si="262"/>
        <v/>
      </c>
    </row>
    <row r="356" spans="11:15" ht="12.5">
      <c r="K356" s="1" t="str">
        <v/>
      </c>
      <c r="M356" s="1" t="str">
        <f t="shared" si="261"/>
        <v/>
      </c>
      <c r="N356" s="15"/>
      <c r="O356" s="5" t="str">
        <f t="shared" si="262"/>
        <v/>
      </c>
    </row>
    <row r="357" spans="11:15" ht="12.5">
      <c r="K357" s="1" t="str">
        <v/>
      </c>
      <c r="M357" s="1" t="str">
        <f t="shared" si="261"/>
        <v/>
      </c>
      <c r="N357" s="15"/>
      <c r="O357" s="5" t="str">
        <f t="shared" si="262"/>
        <v/>
      </c>
    </row>
    <row r="358" spans="11:15" ht="12.5">
      <c r="K358" s="1" t="str">
        <v/>
      </c>
      <c r="M358" s="1" t="str">
        <f t="shared" si="261"/>
        <v/>
      </c>
      <c r="N358" s="15"/>
      <c r="O358" s="5" t="str">
        <f t="shared" si="262"/>
        <v/>
      </c>
    </row>
    <row r="359" spans="11:15" ht="12.5">
      <c r="K359" s="1" t="str">
        <v/>
      </c>
      <c r="M359" s="1" t="str">
        <f t="shared" si="261"/>
        <v/>
      </c>
      <c r="N359" s="15"/>
      <c r="O359" s="5" t="str">
        <f t="shared" si="262"/>
        <v/>
      </c>
    </row>
    <row r="360" spans="11:15" ht="12.5">
      <c r="K360" s="1" t="str">
        <v/>
      </c>
      <c r="M360" s="1" t="str">
        <f t="shared" si="261"/>
        <v/>
      </c>
      <c r="N360" s="15"/>
      <c r="O360" s="5" t="str">
        <f t="shared" si="262"/>
        <v/>
      </c>
    </row>
    <row r="361" spans="11:15" ht="12.5">
      <c r="K361" s="1" t="str">
        <v/>
      </c>
      <c r="M361" s="1" t="str">
        <f t="shared" si="261"/>
        <v/>
      </c>
      <c r="N361" s="15"/>
      <c r="O361" s="5" t="str">
        <f t="shared" si="262"/>
        <v/>
      </c>
    </row>
    <row r="362" spans="11:15" ht="12.5">
      <c r="K362" s="1" t="str">
        <v/>
      </c>
      <c r="M362" s="1" t="str">
        <f t="shared" si="261"/>
        <v/>
      </c>
      <c r="N362" s="15"/>
      <c r="O362" s="5" t="str">
        <f t="shared" si="262"/>
        <v/>
      </c>
    </row>
    <row r="363" spans="11:15" ht="12.5">
      <c r="K363" s="1" t="str">
        <v/>
      </c>
      <c r="M363" s="1" t="str">
        <f t="shared" si="261"/>
        <v/>
      </c>
      <c r="N363" s="15"/>
      <c r="O363" s="5" t="str">
        <f t="shared" si="262"/>
        <v/>
      </c>
    </row>
    <row r="364" spans="11:15" ht="12.5">
      <c r="K364" s="1" t="str">
        <v/>
      </c>
      <c r="M364" s="1" t="str">
        <f t="shared" si="261"/>
        <v/>
      </c>
      <c r="N364" s="15"/>
      <c r="O364" s="5" t="str">
        <f t="shared" si="262"/>
        <v/>
      </c>
    </row>
    <row r="365" spans="11:15" ht="12.5">
      <c r="K365" s="1" t="str">
        <v/>
      </c>
      <c r="M365" s="1" t="str">
        <f t="shared" si="261"/>
        <v/>
      </c>
      <c r="N365" s="15"/>
      <c r="O365" s="5" t="str">
        <f t="shared" si="262"/>
        <v/>
      </c>
    </row>
    <row r="366" spans="11:15" ht="12.5">
      <c r="K366" s="1" t="str">
        <v/>
      </c>
      <c r="M366" s="1" t="str">
        <f t="shared" si="261"/>
        <v/>
      </c>
      <c r="N366" s="15"/>
      <c r="O366" s="5" t="str">
        <f t="shared" si="262"/>
        <v/>
      </c>
    </row>
    <row r="367" spans="11:15" ht="12.5">
      <c r="K367" s="1" t="str">
        <v/>
      </c>
      <c r="M367" s="1" t="str">
        <f t="shared" si="261"/>
        <v/>
      </c>
      <c r="N367" s="15"/>
      <c r="O367" s="5" t="str">
        <f t="shared" si="262"/>
        <v/>
      </c>
    </row>
    <row r="368" spans="11:15" ht="12.5">
      <c r="K368" s="1" t="str">
        <v/>
      </c>
      <c r="M368" s="1" t="str">
        <f t="shared" si="261"/>
        <v/>
      </c>
      <c r="N368" s="15"/>
      <c r="O368" s="5" t="str">
        <f t="shared" si="262"/>
        <v/>
      </c>
    </row>
    <row r="369" spans="11:15" ht="12.5">
      <c r="K369" s="1" t="str">
        <v/>
      </c>
      <c r="M369" s="1" t="str">
        <f t="shared" si="261"/>
        <v/>
      </c>
      <c r="N369" s="15"/>
      <c r="O369" s="5" t="str">
        <f t="shared" si="262"/>
        <v/>
      </c>
    </row>
    <row r="370" spans="11:15" ht="12.5">
      <c r="K370" s="1" t="str">
        <v/>
      </c>
      <c r="M370" s="1" t="str">
        <f t="shared" si="261"/>
        <v/>
      </c>
      <c r="N370" s="15"/>
      <c r="O370" s="5" t="str">
        <f t="shared" si="262"/>
        <v/>
      </c>
    </row>
    <row r="371" spans="11:15" ht="12.5">
      <c r="K371" s="1" t="str">
        <v/>
      </c>
      <c r="M371" s="1" t="str">
        <f t="shared" si="261"/>
        <v/>
      </c>
      <c r="N371" s="15"/>
      <c r="O371" s="5" t="str">
        <f t="shared" si="262"/>
        <v/>
      </c>
    </row>
    <row r="372" spans="11:15" ht="12.5">
      <c r="K372" s="1" t="str">
        <v/>
      </c>
      <c r="M372" s="1" t="str">
        <f t="shared" si="261"/>
        <v/>
      </c>
      <c r="N372" s="15"/>
      <c r="O372" s="5" t="str">
        <f t="shared" si="262"/>
        <v/>
      </c>
    </row>
    <row r="373" spans="11:15" ht="12.5">
      <c r="K373" s="1" t="str">
        <v/>
      </c>
      <c r="M373" s="1" t="str">
        <f t="shared" si="261"/>
        <v/>
      </c>
      <c r="N373" s="15"/>
      <c r="O373" s="5" t="str">
        <f t="shared" si="262"/>
        <v/>
      </c>
    </row>
    <row r="374" spans="11:15" ht="12.5">
      <c r="K374" s="1" t="str">
        <v/>
      </c>
      <c r="M374" s="1" t="str">
        <f t="shared" si="261"/>
        <v/>
      </c>
      <c r="N374" s="15"/>
      <c r="O374" s="5" t="str">
        <f t="shared" si="262"/>
        <v/>
      </c>
    </row>
    <row r="375" spans="11:15" ht="12.5">
      <c r="K375" s="1" t="str">
        <v/>
      </c>
      <c r="M375" s="1" t="str">
        <f t="shared" si="261"/>
        <v/>
      </c>
      <c r="N375" s="15"/>
      <c r="O375" s="5" t="str">
        <f t="shared" si="262"/>
        <v/>
      </c>
    </row>
    <row r="376" spans="11:15" ht="12.5">
      <c r="K376" s="1" t="str">
        <v/>
      </c>
      <c r="M376" s="1" t="str">
        <f t="shared" si="261"/>
        <v/>
      </c>
      <c r="N376" s="15"/>
      <c r="O376" s="5" t="str">
        <f t="shared" si="262"/>
        <v/>
      </c>
    </row>
    <row r="377" spans="11:15" ht="12.5">
      <c r="K377" s="1" t="str">
        <v/>
      </c>
      <c r="M377" s="1" t="str">
        <f t="shared" si="261"/>
        <v/>
      </c>
      <c r="N377" s="15"/>
      <c r="O377" s="5" t="str">
        <f t="shared" si="262"/>
        <v/>
      </c>
    </row>
    <row r="378" spans="11:15" ht="12.5">
      <c r="K378" s="1" t="str">
        <v/>
      </c>
      <c r="M378" s="1" t="str">
        <f t="shared" si="261"/>
        <v/>
      </c>
      <c r="N378" s="15"/>
      <c r="O378" s="5" t="str">
        <f t="shared" si="262"/>
        <v/>
      </c>
    </row>
    <row r="379" spans="11:15" ht="12.5">
      <c r="K379" s="1" t="str">
        <v/>
      </c>
      <c r="M379" s="1" t="str">
        <f t="shared" si="261"/>
        <v/>
      </c>
      <c r="N379" s="15"/>
      <c r="O379" s="5" t="str">
        <f t="shared" si="262"/>
        <v/>
      </c>
    </row>
    <row r="380" spans="11:15" ht="12.5">
      <c r="K380" s="1" t="str">
        <v/>
      </c>
      <c r="M380" s="1" t="str">
        <f t="shared" si="261"/>
        <v/>
      </c>
      <c r="N380" s="15"/>
      <c r="O380" s="5" t="str">
        <f t="shared" si="262"/>
        <v/>
      </c>
    </row>
    <row r="381" spans="11:15" ht="12.5">
      <c r="K381" s="1" t="str">
        <v/>
      </c>
      <c r="M381" s="1" t="str">
        <f t="shared" si="261"/>
        <v/>
      </c>
      <c r="N381" s="15"/>
      <c r="O381" s="5" t="str">
        <f t="shared" si="262"/>
        <v/>
      </c>
    </row>
    <row r="382" spans="11:15" ht="12.5">
      <c r="K382" s="1" t="str">
        <v/>
      </c>
      <c r="M382" s="1" t="str">
        <f t="shared" si="261"/>
        <v/>
      </c>
      <c r="N382" s="15"/>
      <c r="O382" s="5" t="str">
        <f t="shared" si="262"/>
        <v/>
      </c>
    </row>
    <row r="383" spans="11:15" ht="12.5">
      <c r="K383" s="1" t="str">
        <v/>
      </c>
      <c r="M383" s="1" t="str">
        <f t="shared" si="261"/>
        <v/>
      </c>
      <c r="N383" s="15"/>
      <c r="O383" s="5" t="str">
        <f t="shared" si="262"/>
        <v/>
      </c>
    </row>
    <row r="384" spans="11:15" ht="12.5">
      <c r="K384" s="1" t="str">
        <v/>
      </c>
      <c r="M384" s="1" t="str">
        <f t="shared" si="261"/>
        <v/>
      </c>
      <c r="N384" s="15"/>
      <c r="O384" s="5" t="str">
        <f t="shared" si="262"/>
        <v/>
      </c>
    </row>
    <row r="385" spans="11:15" ht="12.5">
      <c r="K385" s="1" t="str">
        <v/>
      </c>
      <c r="M385" s="1" t="str">
        <f t="shared" si="261"/>
        <v/>
      </c>
      <c r="N385" s="15"/>
      <c r="O385" s="5" t="str">
        <f t="shared" si="262"/>
        <v/>
      </c>
    </row>
    <row r="386" spans="11:15" ht="12.5">
      <c r="K386" s="1" t="str">
        <v/>
      </c>
      <c r="M386" s="1" t="str">
        <f t="shared" si="261"/>
        <v/>
      </c>
      <c r="N386" s="15"/>
      <c r="O386" s="5" t="str">
        <f t="shared" si="262"/>
        <v/>
      </c>
    </row>
    <row r="387" spans="11:15" ht="12.5">
      <c r="K387" s="1" t="str">
        <v/>
      </c>
      <c r="M387" s="1" t="str">
        <f t="shared" ref="M387:M450" si="263">IF(G387="","",IF(LOWER(TRIM(G387))="north america","North America",IF(LOWER(TRIM(G387))="emea","EMEA",IF(LOWER(TRIM(G387))="apac","APAC",IF(LOWER(TRIM(G387))="latam","LATAM",TRIM(G387))))))</f>
        <v/>
      </c>
      <c r="N387" s="15"/>
      <c r="O387" s="5" t="str">
        <f t="shared" ref="O387:O450" si="264">IF(OR(H387="",N387=""),"",H387*N387)</f>
        <v/>
      </c>
    </row>
    <row r="388" spans="11:15" ht="12.5">
      <c r="K388" s="1" t="str">
        <v/>
      </c>
      <c r="M388" s="1" t="str">
        <f t="shared" si="263"/>
        <v/>
      </c>
      <c r="N388" s="15"/>
      <c r="O388" s="5" t="str">
        <f t="shared" si="264"/>
        <v/>
      </c>
    </row>
    <row r="389" spans="11:15" ht="12.5">
      <c r="K389" s="1" t="str">
        <v/>
      </c>
      <c r="M389" s="1" t="str">
        <f t="shared" si="263"/>
        <v/>
      </c>
      <c r="N389" s="15"/>
      <c r="O389" s="5" t="str">
        <f t="shared" si="264"/>
        <v/>
      </c>
    </row>
    <row r="390" spans="11:15" ht="12.5">
      <c r="K390" s="1" t="str">
        <v/>
      </c>
      <c r="M390" s="1" t="str">
        <f t="shared" si="263"/>
        <v/>
      </c>
      <c r="N390" s="15"/>
      <c r="O390" s="5" t="str">
        <f t="shared" si="264"/>
        <v/>
      </c>
    </row>
    <row r="391" spans="11:15" ht="12.5">
      <c r="K391" s="1" t="str">
        <v/>
      </c>
      <c r="M391" s="1" t="str">
        <f t="shared" si="263"/>
        <v/>
      </c>
      <c r="N391" s="15"/>
      <c r="O391" s="5" t="str">
        <f t="shared" si="264"/>
        <v/>
      </c>
    </row>
    <row r="392" spans="11:15" ht="12.5">
      <c r="K392" s="1" t="str">
        <v/>
      </c>
      <c r="M392" s="1" t="str">
        <f t="shared" si="263"/>
        <v/>
      </c>
      <c r="N392" s="15"/>
      <c r="O392" s="5" t="str">
        <f t="shared" si="264"/>
        <v/>
      </c>
    </row>
    <row r="393" spans="11:15" ht="12.5">
      <c r="K393" s="1" t="str">
        <v/>
      </c>
      <c r="M393" s="1" t="str">
        <f t="shared" si="263"/>
        <v/>
      </c>
      <c r="N393" s="15"/>
      <c r="O393" s="5" t="str">
        <f t="shared" si="264"/>
        <v/>
      </c>
    </row>
    <row r="394" spans="11:15" ht="12.5">
      <c r="K394" s="1" t="str">
        <v/>
      </c>
      <c r="M394" s="1" t="str">
        <f t="shared" si="263"/>
        <v/>
      </c>
      <c r="N394" s="15"/>
      <c r="O394" s="5" t="str">
        <f t="shared" si="264"/>
        <v/>
      </c>
    </row>
    <row r="395" spans="11:15" ht="12.5">
      <c r="K395" s="1" t="str">
        <v/>
      </c>
      <c r="M395" s="1" t="str">
        <f t="shared" si="263"/>
        <v/>
      </c>
      <c r="N395" s="15"/>
      <c r="O395" s="5" t="str">
        <f t="shared" si="264"/>
        <v/>
      </c>
    </row>
    <row r="396" spans="11:15" ht="12.5">
      <c r="K396" s="1" t="str">
        <v/>
      </c>
      <c r="M396" s="1" t="str">
        <f t="shared" si="263"/>
        <v/>
      </c>
      <c r="N396" s="15"/>
      <c r="O396" s="5" t="str">
        <f t="shared" si="264"/>
        <v/>
      </c>
    </row>
    <row r="397" spans="11:15" ht="12.5">
      <c r="K397" s="1" t="str">
        <v/>
      </c>
      <c r="M397" s="1" t="str">
        <f t="shared" si="263"/>
        <v/>
      </c>
      <c r="N397" s="15"/>
      <c r="O397" s="5" t="str">
        <f t="shared" si="264"/>
        <v/>
      </c>
    </row>
    <row r="398" spans="11:15" ht="12.5">
      <c r="K398" s="1" t="str">
        <v/>
      </c>
      <c r="M398" s="1" t="str">
        <f t="shared" si="263"/>
        <v/>
      </c>
      <c r="N398" s="15"/>
      <c r="O398" s="5" t="str">
        <f t="shared" si="264"/>
        <v/>
      </c>
    </row>
    <row r="399" spans="11:15" ht="12.5">
      <c r="K399" s="1" t="str">
        <v/>
      </c>
      <c r="M399" s="1" t="str">
        <f t="shared" si="263"/>
        <v/>
      </c>
      <c r="N399" s="15"/>
      <c r="O399" s="5" t="str">
        <f t="shared" si="264"/>
        <v/>
      </c>
    </row>
    <row r="400" spans="11:15" ht="12.5">
      <c r="K400" s="1" t="str">
        <v/>
      </c>
      <c r="M400" s="1" t="str">
        <f t="shared" si="263"/>
        <v/>
      </c>
      <c r="N400" s="15"/>
      <c r="O400" s="5" t="str">
        <f t="shared" si="264"/>
        <v/>
      </c>
    </row>
    <row r="401" spans="11:15" ht="12.5">
      <c r="K401" s="1" t="str">
        <v/>
      </c>
      <c r="M401" s="1" t="str">
        <f t="shared" si="263"/>
        <v/>
      </c>
      <c r="N401" s="15"/>
      <c r="O401" s="5" t="str">
        <f t="shared" si="264"/>
        <v/>
      </c>
    </row>
    <row r="402" spans="11:15" ht="12.5">
      <c r="K402" s="1" t="str">
        <v/>
      </c>
      <c r="M402" s="1" t="str">
        <f t="shared" si="263"/>
        <v/>
      </c>
      <c r="N402" s="15"/>
      <c r="O402" s="5" t="str">
        <f t="shared" si="264"/>
        <v/>
      </c>
    </row>
    <row r="403" spans="11:15" ht="12.5">
      <c r="K403" s="1" t="str">
        <v/>
      </c>
      <c r="M403" s="1" t="str">
        <f t="shared" si="263"/>
        <v/>
      </c>
      <c r="N403" s="15"/>
      <c r="O403" s="5" t="str">
        <f t="shared" si="264"/>
        <v/>
      </c>
    </row>
    <row r="404" spans="11:15" ht="12.5">
      <c r="K404" s="1" t="str">
        <v/>
      </c>
      <c r="M404" s="1" t="str">
        <f t="shared" si="263"/>
        <v/>
      </c>
      <c r="N404" s="15"/>
      <c r="O404" s="5" t="str">
        <f t="shared" si="264"/>
        <v/>
      </c>
    </row>
    <row r="405" spans="11:15" ht="12.5">
      <c r="K405" s="1" t="str">
        <v/>
      </c>
      <c r="M405" s="1" t="str">
        <f t="shared" si="263"/>
        <v/>
      </c>
      <c r="N405" s="15"/>
      <c r="O405" s="5" t="str">
        <f t="shared" si="264"/>
        <v/>
      </c>
    </row>
    <row r="406" spans="11:15" ht="12.5">
      <c r="K406" s="1" t="str">
        <v/>
      </c>
      <c r="M406" s="1" t="str">
        <f t="shared" si="263"/>
        <v/>
      </c>
      <c r="N406" s="15"/>
      <c r="O406" s="5" t="str">
        <f t="shared" si="264"/>
        <v/>
      </c>
    </row>
    <row r="407" spans="11:15" ht="12.5">
      <c r="K407" s="1" t="str">
        <v/>
      </c>
      <c r="M407" s="1" t="str">
        <f t="shared" si="263"/>
        <v/>
      </c>
      <c r="N407" s="15"/>
      <c r="O407" s="5" t="str">
        <f t="shared" si="264"/>
        <v/>
      </c>
    </row>
    <row r="408" spans="11:15" ht="12.5">
      <c r="K408" s="1" t="str">
        <v/>
      </c>
      <c r="M408" s="1" t="str">
        <f t="shared" si="263"/>
        <v/>
      </c>
      <c r="N408" s="15"/>
      <c r="O408" s="5" t="str">
        <f t="shared" si="264"/>
        <v/>
      </c>
    </row>
    <row r="409" spans="11:15" ht="12.5">
      <c r="K409" s="1" t="str">
        <v/>
      </c>
      <c r="M409" s="1" t="str">
        <f t="shared" si="263"/>
        <v/>
      </c>
      <c r="N409" s="15"/>
      <c r="O409" s="5" t="str">
        <f t="shared" si="264"/>
        <v/>
      </c>
    </row>
    <row r="410" spans="11:15" ht="12.5">
      <c r="K410" s="1" t="str">
        <v/>
      </c>
      <c r="M410" s="1" t="str">
        <f t="shared" si="263"/>
        <v/>
      </c>
      <c r="N410" s="15"/>
      <c r="O410" s="5" t="str">
        <f t="shared" si="264"/>
        <v/>
      </c>
    </row>
    <row r="411" spans="11:15" ht="12.5">
      <c r="K411" s="1" t="str">
        <v/>
      </c>
      <c r="M411" s="1" t="str">
        <f t="shared" si="263"/>
        <v/>
      </c>
      <c r="N411" s="15"/>
      <c r="O411" s="5" t="str">
        <f t="shared" si="264"/>
        <v/>
      </c>
    </row>
    <row r="412" spans="11:15" ht="12.5">
      <c r="K412" s="1" t="str">
        <v/>
      </c>
      <c r="M412" s="1" t="str">
        <f t="shared" si="263"/>
        <v/>
      </c>
      <c r="N412" s="15"/>
      <c r="O412" s="5" t="str">
        <f t="shared" si="264"/>
        <v/>
      </c>
    </row>
    <row r="413" spans="11:15" ht="12.5">
      <c r="K413" s="1" t="str">
        <v/>
      </c>
      <c r="M413" s="1" t="str">
        <f t="shared" si="263"/>
        <v/>
      </c>
      <c r="N413" s="15"/>
      <c r="O413" s="5" t="str">
        <f t="shared" si="264"/>
        <v/>
      </c>
    </row>
    <row r="414" spans="11:15" ht="12.5">
      <c r="K414" s="1" t="str">
        <v/>
      </c>
      <c r="M414" s="1" t="str">
        <f t="shared" si="263"/>
        <v/>
      </c>
      <c r="N414" s="15"/>
      <c r="O414" s="5" t="str">
        <f t="shared" si="264"/>
        <v/>
      </c>
    </row>
    <row r="415" spans="11:15" ht="12.5">
      <c r="K415" s="1" t="str">
        <v/>
      </c>
      <c r="M415" s="1" t="str">
        <f t="shared" si="263"/>
        <v/>
      </c>
      <c r="N415" s="15"/>
      <c r="O415" s="5" t="str">
        <f t="shared" si="264"/>
        <v/>
      </c>
    </row>
    <row r="416" spans="11:15" ht="12.5">
      <c r="K416" s="1" t="str">
        <v/>
      </c>
      <c r="M416" s="1" t="str">
        <f t="shared" si="263"/>
        <v/>
      </c>
      <c r="N416" s="15"/>
      <c r="O416" s="5" t="str">
        <f t="shared" si="264"/>
        <v/>
      </c>
    </row>
    <row r="417" spans="11:15" ht="12.5">
      <c r="K417" s="1" t="str">
        <v/>
      </c>
      <c r="M417" s="1" t="str">
        <f t="shared" si="263"/>
        <v/>
      </c>
      <c r="N417" s="15"/>
      <c r="O417" s="5" t="str">
        <f t="shared" si="264"/>
        <v/>
      </c>
    </row>
    <row r="418" spans="11:15" ht="12.5">
      <c r="K418" s="1" t="str">
        <v/>
      </c>
      <c r="M418" s="1" t="str">
        <f t="shared" si="263"/>
        <v/>
      </c>
      <c r="N418" s="15"/>
      <c r="O418" s="5" t="str">
        <f t="shared" si="264"/>
        <v/>
      </c>
    </row>
    <row r="419" spans="11:15" ht="12.5">
      <c r="K419" s="1" t="str">
        <v/>
      </c>
      <c r="M419" s="1" t="str">
        <f t="shared" si="263"/>
        <v/>
      </c>
      <c r="N419" s="15"/>
      <c r="O419" s="5" t="str">
        <f t="shared" si="264"/>
        <v/>
      </c>
    </row>
    <row r="420" spans="11:15" ht="12.5">
      <c r="K420" s="1" t="str">
        <v/>
      </c>
      <c r="M420" s="1" t="str">
        <f t="shared" si="263"/>
        <v/>
      </c>
      <c r="N420" s="15"/>
      <c r="O420" s="5" t="str">
        <f t="shared" si="264"/>
        <v/>
      </c>
    </row>
    <row r="421" spans="11:15" ht="12.5">
      <c r="K421" s="1" t="str">
        <v/>
      </c>
      <c r="M421" s="1" t="str">
        <f t="shared" si="263"/>
        <v/>
      </c>
      <c r="N421" s="15"/>
      <c r="O421" s="5" t="str">
        <f t="shared" si="264"/>
        <v/>
      </c>
    </row>
    <row r="422" spans="11:15" ht="12.5">
      <c r="K422" s="1" t="str">
        <v/>
      </c>
      <c r="M422" s="1" t="str">
        <f t="shared" si="263"/>
        <v/>
      </c>
      <c r="N422" s="15"/>
      <c r="O422" s="5" t="str">
        <f t="shared" si="264"/>
        <v/>
      </c>
    </row>
    <row r="423" spans="11:15" ht="12.5">
      <c r="K423" s="1" t="str">
        <v/>
      </c>
      <c r="M423" s="1" t="str">
        <f t="shared" si="263"/>
        <v/>
      </c>
      <c r="N423" s="15"/>
      <c r="O423" s="5" t="str">
        <f t="shared" si="264"/>
        <v/>
      </c>
    </row>
    <row r="424" spans="11:15" ht="12.5">
      <c r="K424" s="1" t="str">
        <v/>
      </c>
      <c r="M424" s="1" t="str">
        <f t="shared" si="263"/>
        <v/>
      </c>
      <c r="N424" s="15"/>
      <c r="O424" s="5" t="str">
        <f t="shared" si="264"/>
        <v/>
      </c>
    </row>
    <row r="425" spans="11:15" ht="12.5">
      <c r="K425" s="1" t="str">
        <v/>
      </c>
      <c r="M425" s="1" t="str">
        <f t="shared" si="263"/>
        <v/>
      </c>
      <c r="N425" s="15"/>
      <c r="O425" s="5" t="str">
        <f t="shared" si="264"/>
        <v/>
      </c>
    </row>
    <row r="426" spans="11:15" ht="12.5">
      <c r="K426" s="1" t="str">
        <v/>
      </c>
      <c r="M426" s="1" t="str">
        <f t="shared" si="263"/>
        <v/>
      </c>
      <c r="N426" s="15"/>
      <c r="O426" s="5" t="str">
        <f t="shared" si="264"/>
        <v/>
      </c>
    </row>
    <row r="427" spans="11:15" ht="12.5">
      <c r="K427" s="1" t="str">
        <v/>
      </c>
      <c r="M427" s="1" t="str">
        <f t="shared" si="263"/>
        <v/>
      </c>
      <c r="N427" s="15"/>
      <c r="O427" s="5" t="str">
        <f t="shared" si="264"/>
        <v/>
      </c>
    </row>
    <row r="428" spans="11:15" ht="12.5">
      <c r="K428" s="1" t="str">
        <v/>
      </c>
      <c r="M428" s="1" t="str">
        <f t="shared" si="263"/>
        <v/>
      </c>
      <c r="N428" s="15"/>
      <c r="O428" s="5" t="str">
        <f t="shared" si="264"/>
        <v/>
      </c>
    </row>
    <row r="429" spans="11:15" ht="12.5">
      <c r="K429" s="1" t="str">
        <v/>
      </c>
      <c r="M429" s="1" t="str">
        <f t="shared" si="263"/>
        <v/>
      </c>
      <c r="N429" s="15"/>
      <c r="O429" s="5" t="str">
        <f t="shared" si="264"/>
        <v/>
      </c>
    </row>
    <row r="430" spans="11:15" ht="12.5">
      <c r="K430" s="1" t="str">
        <v/>
      </c>
      <c r="M430" s="1" t="str">
        <f t="shared" si="263"/>
        <v/>
      </c>
      <c r="N430" s="15"/>
      <c r="O430" s="5" t="str">
        <f t="shared" si="264"/>
        <v/>
      </c>
    </row>
    <row r="431" spans="11:15" ht="12.5">
      <c r="K431" s="1" t="str">
        <v/>
      </c>
      <c r="M431" s="1" t="str">
        <f t="shared" si="263"/>
        <v/>
      </c>
      <c r="N431" s="15"/>
      <c r="O431" s="5" t="str">
        <f t="shared" si="264"/>
        <v/>
      </c>
    </row>
    <row r="432" spans="11:15" ht="12.5">
      <c r="K432" s="1" t="str">
        <v/>
      </c>
      <c r="M432" s="1" t="str">
        <f t="shared" si="263"/>
        <v/>
      </c>
      <c r="N432" s="15"/>
      <c r="O432" s="5" t="str">
        <f t="shared" si="264"/>
        <v/>
      </c>
    </row>
    <row r="433" spans="11:15" ht="12.5">
      <c r="K433" s="1" t="str">
        <v/>
      </c>
      <c r="M433" s="1" t="str">
        <f t="shared" si="263"/>
        <v/>
      </c>
      <c r="N433" s="15"/>
      <c r="O433" s="5" t="str">
        <f t="shared" si="264"/>
        <v/>
      </c>
    </row>
    <row r="434" spans="11:15" ht="12.5">
      <c r="K434" s="1" t="str">
        <v/>
      </c>
      <c r="M434" s="1" t="str">
        <f t="shared" si="263"/>
        <v/>
      </c>
      <c r="N434" s="15"/>
      <c r="O434" s="5" t="str">
        <f t="shared" si="264"/>
        <v/>
      </c>
    </row>
    <row r="435" spans="11:15" ht="12.5">
      <c r="K435" s="1" t="str">
        <v/>
      </c>
      <c r="M435" s="1" t="str">
        <f t="shared" si="263"/>
        <v/>
      </c>
      <c r="N435" s="15"/>
      <c r="O435" s="5" t="str">
        <f t="shared" si="264"/>
        <v/>
      </c>
    </row>
    <row r="436" spans="11:15" ht="12.5">
      <c r="K436" s="1" t="str">
        <v/>
      </c>
      <c r="M436" s="1" t="str">
        <f t="shared" si="263"/>
        <v/>
      </c>
      <c r="N436" s="15"/>
      <c r="O436" s="5" t="str">
        <f t="shared" si="264"/>
        <v/>
      </c>
    </row>
    <row r="437" spans="11:15" ht="12.5">
      <c r="K437" s="1" t="str">
        <v/>
      </c>
      <c r="M437" s="1" t="str">
        <f t="shared" si="263"/>
        <v/>
      </c>
      <c r="N437" s="15"/>
      <c r="O437" s="5" t="str">
        <f t="shared" si="264"/>
        <v/>
      </c>
    </row>
    <row r="438" spans="11:15" ht="12.5">
      <c r="K438" s="1" t="str">
        <v/>
      </c>
      <c r="M438" s="1" t="str">
        <f t="shared" si="263"/>
        <v/>
      </c>
      <c r="N438" s="15"/>
      <c r="O438" s="5" t="str">
        <f t="shared" si="264"/>
        <v/>
      </c>
    </row>
    <row r="439" spans="11:15" ht="12.5">
      <c r="K439" s="1" t="str">
        <v/>
      </c>
      <c r="M439" s="1" t="str">
        <f t="shared" si="263"/>
        <v/>
      </c>
      <c r="N439" s="15"/>
      <c r="O439" s="5" t="str">
        <f t="shared" si="264"/>
        <v/>
      </c>
    </row>
    <row r="440" spans="11:15" ht="12.5">
      <c r="K440" s="1" t="str">
        <v/>
      </c>
      <c r="M440" s="1" t="str">
        <f t="shared" si="263"/>
        <v/>
      </c>
      <c r="N440" s="15"/>
      <c r="O440" s="5" t="str">
        <f t="shared" si="264"/>
        <v/>
      </c>
    </row>
    <row r="441" spans="11:15" ht="12.5">
      <c r="K441" s="1" t="str">
        <v/>
      </c>
      <c r="M441" s="1" t="str">
        <f t="shared" si="263"/>
        <v/>
      </c>
      <c r="N441" s="15"/>
      <c r="O441" s="5" t="str">
        <f t="shared" si="264"/>
        <v/>
      </c>
    </row>
    <row r="442" spans="11:15" ht="12.5">
      <c r="K442" s="1" t="str">
        <v/>
      </c>
      <c r="M442" s="1" t="str">
        <f t="shared" si="263"/>
        <v/>
      </c>
      <c r="N442" s="15"/>
      <c r="O442" s="5" t="str">
        <f t="shared" si="264"/>
        <v/>
      </c>
    </row>
    <row r="443" spans="11:15" ht="12.5">
      <c r="K443" s="1" t="str">
        <v/>
      </c>
      <c r="M443" s="1" t="str">
        <f t="shared" si="263"/>
        <v/>
      </c>
      <c r="N443" s="15"/>
      <c r="O443" s="5" t="str">
        <f t="shared" si="264"/>
        <v/>
      </c>
    </row>
    <row r="444" spans="11:15" ht="12.5">
      <c r="K444" s="1" t="str">
        <v/>
      </c>
      <c r="M444" s="1" t="str">
        <f t="shared" si="263"/>
        <v/>
      </c>
      <c r="N444" s="15"/>
      <c r="O444" s="5" t="str">
        <f t="shared" si="264"/>
        <v/>
      </c>
    </row>
    <row r="445" spans="11:15" ht="12.5">
      <c r="K445" s="1" t="str">
        <v/>
      </c>
      <c r="M445" s="1" t="str">
        <f t="shared" si="263"/>
        <v/>
      </c>
      <c r="N445" s="15"/>
      <c r="O445" s="5" t="str">
        <f t="shared" si="264"/>
        <v/>
      </c>
    </row>
    <row r="446" spans="11:15" ht="12.5">
      <c r="K446" s="1" t="str">
        <v/>
      </c>
      <c r="M446" s="1" t="str">
        <f t="shared" si="263"/>
        <v/>
      </c>
      <c r="N446" s="15"/>
      <c r="O446" s="5" t="str">
        <f t="shared" si="264"/>
        <v/>
      </c>
    </row>
    <row r="447" spans="11:15" ht="12.5">
      <c r="K447" s="1" t="str">
        <v/>
      </c>
      <c r="M447" s="1" t="str">
        <f t="shared" si="263"/>
        <v/>
      </c>
      <c r="N447" s="15"/>
      <c r="O447" s="5" t="str">
        <f t="shared" si="264"/>
        <v/>
      </c>
    </row>
    <row r="448" spans="11:15" ht="12.5">
      <c r="K448" s="1" t="str">
        <v/>
      </c>
      <c r="M448" s="1" t="str">
        <f t="shared" si="263"/>
        <v/>
      </c>
      <c r="N448" s="15"/>
      <c r="O448" s="5" t="str">
        <f t="shared" si="264"/>
        <v/>
      </c>
    </row>
    <row r="449" spans="11:15" ht="12.5">
      <c r="K449" s="1" t="str">
        <v/>
      </c>
      <c r="M449" s="1" t="str">
        <f t="shared" si="263"/>
        <v/>
      </c>
      <c r="N449" s="15"/>
      <c r="O449" s="5" t="str">
        <f t="shared" si="264"/>
        <v/>
      </c>
    </row>
    <row r="450" spans="11:15" ht="12.5">
      <c r="K450" s="1" t="str">
        <v/>
      </c>
      <c r="M450" s="1" t="str">
        <f t="shared" si="263"/>
        <v/>
      </c>
      <c r="N450" s="15"/>
      <c r="O450" s="5" t="str">
        <f t="shared" si="264"/>
        <v/>
      </c>
    </row>
    <row r="451" spans="11:15" ht="12.5">
      <c r="K451" s="1" t="str">
        <v/>
      </c>
      <c r="M451" s="1" t="str">
        <f t="shared" ref="M451:M514" si="265">IF(G451="","",IF(LOWER(TRIM(G451))="north america","North America",IF(LOWER(TRIM(G451))="emea","EMEA",IF(LOWER(TRIM(G451))="apac","APAC",IF(LOWER(TRIM(G451))="latam","LATAM",TRIM(G451))))))</f>
        <v/>
      </c>
      <c r="N451" s="15"/>
      <c r="O451" s="5" t="str">
        <f t="shared" ref="O451:O514" si="266">IF(OR(H451="",N451=""),"",H451*N451)</f>
        <v/>
      </c>
    </row>
    <row r="452" spans="11:15" ht="12.5">
      <c r="K452" s="1" t="str">
        <v/>
      </c>
      <c r="M452" s="1" t="str">
        <f t="shared" si="265"/>
        <v/>
      </c>
      <c r="N452" s="15"/>
      <c r="O452" s="5" t="str">
        <f t="shared" si="266"/>
        <v/>
      </c>
    </row>
    <row r="453" spans="11:15" ht="12.5">
      <c r="K453" s="1" t="str">
        <v/>
      </c>
      <c r="M453" s="1" t="str">
        <f t="shared" si="265"/>
        <v/>
      </c>
      <c r="N453" s="15"/>
      <c r="O453" s="5" t="str">
        <f t="shared" si="266"/>
        <v/>
      </c>
    </row>
    <row r="454" spans="11:15" ht="12.5">
      <c r="K454" s="1" t="str">
        <v/>
      </c>
      <c r="M454" s="1" t="str">
        <f t="shared" si="265"/>
        <v/>
      </c>
      <c r="N454" s="15"/>
      <c r="O454" s="5" t="str">
        <f t="shared" si="266"/>
        <v/>
      </c>
    </row>
    <row r="455" spans="11:15" ht="12.5">
      <c r="K455" s="1" t="str">
        <v/>
      </c>
      <c r="M455" s="1" t="str">
        <f t="shared" si="265"/>
        <v/>
      </c>
      <c r="N455" s="15"/>
      <c r="O455" s="5" t="str">
        <f t="shared" si="266"/>
        <v/>
      </c>
    </row>
    <row r="456" spans="11:15" ht="12.5">
      <c r="K456" s="1" t="str">
        <v/>
      </c>
      <c r="M456" s="1" t="str">
        <f t="shared" si="265"/>
        <v/>
      </c>
      <c r="N456" s="15"/>
      <c r="O456" s="5" t="str">
        <f t="shared" si="266"/>
        <v/>
      </c>
    </row>
    <row r="457" spans="11:15" ht="12.5">
      <c r="K457" s="1" t="str">
        <v/>
      </c>
      <c r="M457" s="1" t="str">
        <f t="shared" si="265"/>
        <v/>
      </c>
      <c r="N457" s="15"/>
      <c r="O457" s="5" t="str">
        <f t="shared" si="266"/>
        <v/>
      </c>
    </row>
    <row r="458" spans="11:15" ht="12.5">
      <c r="K458" s="1" t="str">
        <v/>
      </c>
      <c r="M458" s="1" t="str">
        <f t="shared" si="265"/>
        <v/>
      </c>
      <c r="N458" s="15"/>
      <c r="O458" s="5" t="str">
        <f t="shared" si="266"/>
        <v/>
      </c>
    </row>
    <row r="459" spans="11:15" ht="12.5">
      <c r="K459" s="1" t="str">
        <v/>
      </c>
      <c r="M459" s="1" t="str">
        <f t="shared" si="265"/>
        <v/>
      </c>
      <c r="N459" s="15"/>
      <c r="O459" s="5" t="str">
        <f t="shared" si="266"/>
        <v/>
      </c>
    </row>
    <row r="460" spans="11:15" ht="12.5">
      <c r="K460" s="1" t="str">
        <v/>
      </c>
      <c r="M460" s="1" t="str">
        <f t="shared" si="265"/>
        <v/>
      </c>
      <c r="N460" s="15"/>
      <c r="O460" s="5" t="str">
        <f t="shared" si="266"/>
        <v/>
      </c>
    </row>
    <row r="461" spans="11:15" ht="12.5">
      <c r="K461" s="1" t="str">
        <v/>
      </c>
      <c r="M461" s="1" t="str">
        <f t="shared" si="265"/>
        <v/>
      </c>
      <c r="N461" s="15"/>
      <c r="O461" s="5" t="str">
        <f t="shared" si="266"/>
        <v/>
      </c>
    </row>
    <row r="462" spans="11:15" ht="12.5">
      <c r="K462" s="1" t="str">
        <v/>
      </c>
      <c r="M462" s="1" t="str">
        <f t="shared" si="265"/>
        <v/>
      </c>
      <c r="N462" s="15"/>
      <c r="O462" s="5" t="str">
        <f t="shared" si="266"/>
        <v/>
      </c>
    </row>
    <row r="463" spans="11:15" ht="12.5">
      <c r="K463" s="1" t="str">
        <v/>
      </c>
      <c r="M463" s="1" t="str">
        <f t="shared" si="265"/>
        <v/>
      </c>
      <c r="N463" s="15"/>
      <c r="O463" s="5" t="str">
        <f t="shared" si="266"/>
        <v/>
      </c>
    </row>
    <row r="464" spans="11:15" ht="12.5">
      <c r="K464" s="1" t="str">
        <v/>
      </c>
      <c r="M464" s="1" t="str">
        <f t="shared" si="265"/>
        <v/>
      </c>
      <c r="N464" s="15"/>
      <c r="O464" s="5" t="str">
        <f t="shared" si="266"/>
        <v/>
      </c>
    </row>
    <row r="465" spans="11:15" ht="12.5">
      <c r="K465" s="1" t="str">
        <v/>
      </c>
      <c r="M465" s="1" t="str">
        <f t="shared" si="265"/>
        <v/>
      </c>
      <c r="N465" s="15"/>
      <c r="O465" s="5" t="str">
        <f t="shared" si="266"/>
        <v/>
      </c>
    </row>
    <row r="466" spans="11:15" ht="12.5">
      <c r="K466" s="1" t="str">
        <v/>
      </c>
      <c r="M466" s="1" t="str">
        <f t="shared" si="265"/>
        <v/>
      </c>
      <c r="N466" s="15"/>
      <c r="O466" s="5" t="str">
        <f t="shared" si="266"/>
        <v/>
      </c>
    </row>
    <row r="467" spans="11:15" ht="12.5">
      <c r="K467" s="1" t="str">
        <v/>
      </c>
      <c r="M467" s="1" t="str">
        <f t="shared" si="265"/>
        <v/>
      </c>
      <c r="N467" s="15"/>
      <c r="O467" s="5" t="str">
        <f t="shared" si="266"/>
        <v/>
      </c>
    </row>
    <row r="468" spans="11:15" ht="12.5">
      <c r="K468" s="1" t="str">
        <v/>
      </c>
      <c r="M468" s="1" t="str">
        <f t="shared" si="265"/>
        <v/>
      </c>
      <c r="N468" s="15"/>
      <c r="O468" s="5" t="str">
        <f t="shared" si="266"/>
        <v/>
      </c>
    </row>
    <row r="469" spans="11:15" ht="12.5">
      <c r="K469" s="1" t="str">
        <v/>
      </c>
      <c r="M469" s="1" t="str">
        <f t="shared" si="265"/>
        <v/>
      </c>
      <c r="N469" s="15"/>
      <c r="O469" s="5" t="str">
        <f t="shared" si="266"/>
        <v/>
      </c>
    </row>
    <row r="470" spans="11:15" ht="12.5">
      <c r="K470" s="1" t="str">
        <v/>
      </c>
      <c r="M470" s="1" t="str">
        <f t="shared" si="265"/>
        <v/>
      </c>
      <c r="N470" s="15"/>
      <c r="O470" s="5" t="str">
        <f t="shared" si="266"/>
        <v/>
      </c>
    </row>
    <row r="471" spans="11:15" ht="12.5">
      <c r="K471" s="1" t="str">
        <v/>
      </c>
      <c r="M471" s="1" t="str">
        <f t="shared" si="265"/>
        <v/>
      </c>
      <c r="N471" s="15"/>
      <c r="O471" s="5" t="str">
        <f t="shared" si="266"/>
        <v/>
      </c>
    </row>
    <row r="472" spans="11:15" ht="12.5">
      <c r="K472" s="1" t="str">
        <v/>
      </c>
      <c r="M472" s="1" t="str">
        <f t="shared" si="265"/>
        <v/>
      </c>
      <c r="N472" s="15"/>
      <c r="O472" s="5" t="str">
        <f t="shared" si="266"/>
        <v/>
      </c>
    </row>
    <row r="473" spans="11:15" ht="12.5">
      <c r="K473" s="1" t="str">
        <v/>
      </c>
      <c r="M473" s="1" t="str">
        <f t="shared" si="265"/>
        <v/>
      </c>
      <c r="N473" s="15"/>
      <c r="O473" s="5" t="str">
        <f t="shared" si="266"/>
        <v/>
      </c>
    </row>
    <row r="474" spans="11:15" ht="12.5">
      <c r="K474" s="1" t="str">
        <v/>
      </c>
      <c r="M474" s="1" t="str">
        <f t="shared" si="265"/>
        <v/>
      </c>
      <c r="N474" s="15"/>
      <c r="O474" s="5" t="str">
        <f t="shared" si="266"/>
        <v/>
      </c>
    </row>
    <row r="475" spans="11:15" ht="12.5">
      <c r="K475" s="1" t="str">
        <v/>
      </c>
      <c r="M475" s="1" t="str">
        <f t="shared" si="265"/>
        <v/>
      </c>
      <c r="N475" s="15"/>
      <c r="O475" s="5" t="str">
        <f t="shared" si="266"/>
        <v/>
      </c>
    </row>
    <row r="476" spans="11:15" ht="12.5">
      <c r="K476" s="1" t="str">
        <v/>
      </c>
      <c r="M476" s="1" t="str">
        <f t="shared" si="265"/>
        <v/>
      </c>
      <c r="N476" s="15"/>
      <c r="O476" s="5" t="str">
        <f t="shared" si="266"/>
        <v/>
      </c>
    </row>
    <row r="477" spans="11:15" ht="12.5">
      <c r="K477" s="1" t="str">
        <v/>
      </c>
      <c r="M477" s="1" t="str">
        <f t="shared" si="265"/>
        <v/>
      </c>
      <c r="N477" s="15"/>
      <c r="O477" s="5" t="str">
        <f t="shared" si="266"/>
        <v/>
      </c>
    </row>
    <row r="478" spans="11:15" ht="12.5">
      <c r="K478" s="1" t="str">
        <v/>
      </c>
      <c r="M478" s="1" t="str">
        <f t="shared" si="265"/>
        <v/>
      </c>
      <c r="N478" s="15"/>
      <c r="O478" s="5" t="str">
        <f t="shared" si="266"/>
        <v/>
      </c>
    </row>
    <row r="479" spans="11:15" ht="12.5">
      <c r="K479" s="1" t="str">
        <v/>
      </c>
      <c r="M479" s="1" t="str">
        <f t="shared" si="265"/>
        <v/>
      </c>
      <c r="N479" s="15"/>
      <c r="O479" s="5" t="str">
        <f t="shared" si="266"/>
        <v/>
      </c>
    </row>
    <row r="480" spans="11:15" ht="12.5">
      <c r="K480" s="1" t="str">
        <v/>
      </c>
      <c r="M480" s="1" t="str">
        <f t="shared" si="265"/>
        <v/>
      </c>
      <c r="N480" s="15"/>
      <c r="O480" s="5" t="str">
        <f t="shared" si="266"/>
        <v/>
      </c>
    </row>
    <row r="481" spans="11:15" ht="12.5">
      <c r="K481" s="1" t="str">
        <v/>
      </c>
      <c r="M481" s="1" t="str">
        <f t="shared" si="265"/>
        <v/>
      </c>
      <c r="N481" s="15"/>
      <c r="O481" s="5" t="str">
        <f t="shared" si="266"/>
        <v/>
      </c>
    </row>
    <row r="482" spans="11:15" ht="12.5">
      <c r="K482" s="1" t="str">
        <v/>
      </c>
      <c r="M482" s="1" t="str">
        <f t="shared" si="265"/>
        <v/>
      </c>
      <c r="N482" s="15"/>
      <c r="O482" s="5" t="str">
        <f t="shared" si="266"/>
        <v/>
      </c>
    </row>
    <row r="483" spans="11:15" ht="12.5">
      <c r="K483" s="1" t="str">
        <v/>
      </c>
      <c r="M483" s="1" t="str">
        <f t="shared" si="265"/>
        <v/>
      </c>
      <c r="N483" s="15"/>
      <c r="O483" s="5" t="str">
        <f t="shared" si="266"/>
        <v/>
      </c>
    </row>
    <row r="484" spans="11:15" ht="12.5">
      <c r="K484" s="1" t="str">
        <v/>
      </c>
      <c r="M484" s="1" t="str">
        <f t="shared" si="265"/>
        <v/>
      </c>
      <c r="N484" s="15"/>
      <c r="O484" s="5" t="str">
        <f t="shared" si="266"/>
        <v/>
      </c>
    </row>
    <row r="485" spans="11:15" ht="12.5">
      <c r="K485" s="1" t="str">
        <v/>
      </c>
      <c r="M485" s="1" t="str">
        <f t="shared" si="265"/>
        <v/>
      </c>
      <c r="N485" s="15"/>
      <c r="O485" s="5" t="str">
        <f t="shared" si="266"/>
        <v/>
      </c>
    </row>
    <row r="486" spans="11:15" ht="12.5">
      <c r="K486" s="1" t="str">
        <v/>
      </c>
      <c r="M486" s="1" t="str">
        <f t="shared" si="265"/>
        <v/>
      </c>
      <c r="N486" s="15"/>
      <c r="O486" s="5" t="str">
        <f t="shared" si="266"/>
        <v/>
      </c>
    </row>
    <row r="487" spans="11:15" ht="12.5">
      <c r="K487" s="1" t="str">
        <v/>
      </c>
      <c r="M487" s="1" t="str">
        <f t="shared" si="265"/>
        <v/>
      </c>
      <c r="N487" s="15"/>
      <c r="O487" s="5" t="str">
        <f t="shared" si="266"/>
        <v/>
      </c>
    </row>
    <row r="488" spans="11:15" ht="12.5">
      <c r="K488" s="1" t="str">
        <v/>
      </c>
      <c r="M488" s="1" t="str">
        <f t="shared" si="265"/>
        <v/>
      </c>
      <c r="N488" s="15"/>
      <c r="O488" s="5" t="str">
        <f t="shared" si="266"/>
        <v/>
      </c>
    </row>
    <row r="489" spans="11:15" ht="12.5">
      <c r="K489" s="1" t="str">
        <v/>
      </c>
      <c r="M489" s="1" t="str">
        <f t="shared" si="265"/>
        <v/>
      </c>
      <c r="N489" s="15"/>
      <c r="O489" s="5" t="str">
        <f t="shared" si="266"/>
        <v/>
      </c>
    </row>
    <row r="490" spans="11:15" ht="12.5">
      <c r="K490" s="1" t="str">
        <v/>
      </c>
      <c r="M490" s="1" t="str">
        <f t="shared" si="265"/>
        <v/>
      </c>
      <c r="N490" s="15"/>
      <c r="O490" s="5" t="str">
        <f t="shared" si="266"/>
        <v/>
      </c>
    </row>
    <row r="491" spans="11:15" ht="12.5">
      <c r="K491" s="1" t="str">
        <v/>
      </c>
      <c r="M491" s="1" t="str">
        <f t="shared" si="265"/>
        <v/>
      </c>
      <c r="N491" s="15"/>
      <c r="O491" s="5" t="str">
        <f t="shared" si="266"/>
        <v/>
      </c>
    </row>
    <row r="492" spans="11:15" ht="12.5">
      <c r="K492" s="1" t="str">
        <v/>
      </c>
      <c r="M492" s="1" t="str">
        <f t="shared" si="265"/>
        <v/>
      </c>
      <c r="N492" s="15"/>
      <c r="O492" s="5" t="str">
        <f t="shared" si="266"/>
        <v/>
      </c>
    </row>
    <row r="493" spans="11:15" ht="12.5">
      <c r="K493" s="1" t="str">
        <v/>
      </c>
      <c r="M493" s="1" t="str">
        <f t="shared" si="265"/>
        <v/>
      </c>
      <c r="N493" s="15"/>
      <c r="O493" s="5" t="str">
        <f t="shared" si="266"/>
        <v/>
      </c>
    </row>
    <row r="494" spans="11:15" ht="12.5">
      <c r="K494" s="1" t="str">
        <v/>
      </c>
      <c r="M494" s="1" t="str">
        <f t="shared" si="265"/>
        <v/>
      </c>
      <c r="N494" s="15"/>
      <c r="O494" s="5" t="str">
        <f t="shared" si="266"/>
        <v/>
      </c>
    </row>
    <row r="495" spans="11:15" ht="12.5">
      <c r="K495" s="1" t="str">
        <v/>
      </c>
      <c r="M495" s="1" t="str">
        <f t="shared" si="265"/>
        <v/>
      </c>
      <c r="N495" s="15"/>
      <c r="O495" s="5" t="str">
        <f t="shared" si="266"/>
        <v/>
      </c>
    </row>
    <row r="496" spans="11:15" ht="12.5">
      <c r="K496" s="1" t="str">
        <v/>
      </c>
      <c r="M496" s="1" t="str">
        <f t="shared" si="265"/>
        <v/>
      </c>
      <c r="N496" s="15"/>
      <c r="O496" s="5" t="str">
        <f t="shared" si="266"/>
        <v/>
      </c>
    </row>
    <row r="497" spans="11:15" ht="12.5">
      <c r="K497" s="1" t="str">
        <v/>
      </c>
      <c r="M497" s="1" t="str">
        <f t="shared" si="265"/>
        <v/>
      </c>
      <c r="N497" s="15"/>
      <c r="O497" s="5" t="str">
        <f t="shared" si="266"/>
        <v/>
      </c>
    </row>
    <row r="498" spans="11:15" ht="12.5">
      <c r="K498" s="1" t="str">
        <v/>
      </c>
      <c r="M498" s="1" t="str">
        <f t="shared" si="265"/>
        <v/>
      </c>
      <c r="N498" s="15"/>
      <c r="O498" s="5" t="str">
        <f t="shared" si="266"/>
        <v/>
      </c>
    </row>
    <row r="499" spans="11:15" ht="12.5">
      <c r="K499" s="1" t="str">
        <v/>
      </c>
      <c r="M499" s="1" t="str">
        <f t="shared" si="265"/>
        <v/>
      </c>
      <c r="N499" s="15"/>
      <c r="O499" s="5" t="str">
        <f t="shared" si="266"/>
        <v/>
      </c>
    </row>
    <row r="500" spans="11:15" ht="12.5">
      <c r="K500" s="1" t="str">
        <v/>
      </c>
      <c r="M500" s="1" t="str">
        <f t="shared" si="265"/>
        <v/>
      </c>
      <c r="N500" s="15"/>
      <c r="O500" s="5" t="str">
        <f t="shared" si="266"/>
        <v/>
      </c>
    </row>
    <row r="501" spans="11:15" ht="12.5">
      <c r="K501" s="1" t="str">
        <v/>
      </c>
      <c r="M501" s="1" t="str">
        <f t="shared" si="265"/>
        <v/>
      </c>
      <c r="N501" s="15"/>
      <c r="O501" s="5" t="str">
        <f t="shared" si="266"/>
        <v/>
      </c>
    </row>
    <row r="502" spans="11:15" ht="12.5">
      <c r="K502" s="1" t="str">
        <v/>
      </c>
      <c r="M502" s="1" t="str">
        <f t="shared" si="265"/>
        <v/>
      </c>
      <c r="N502" s="15"/>
      <c r="O502" s="5" t="str">
        <f t="shared" si="266"/>
        <v/>
      </c>
    </row>
    <row r="503" spans="11:15" ht="12.5">
      <c r="K503" s="1" t="str">
        <v/>
      </c>
      <c r="M503" s="1" t="str">
        <f t="shared" si="265"/>
        <v/>
      </c>
      <c r="N503" s="15"/>
      <c r="O503" s="5" t="str">
        <f t="shared" si="266"/>
        <v/>
      </c>
    </row>
    <row r="504" spans="11:15" ht="12.5">
      <c r="K504" s="1" t="str">
        <v/>
      </c>
      <c r="M504" s="1" t="str">
        <f t="shared" si="265"/>
        <v/>
      </c>
      <c r="N504" s="15"/>
      <c r="O504" s="5" t="str">
        <f t="shared" si="266"/>
        <v/>
      </c>
    </row>
    <row r="505" spans="11:15" ht="12.5">
      <c r="K505" s="1" t="str">
        <v/>
      </c>
      <c r="M505" s="1" t="str">
        <f t="shared" si="265"/>
        <v/>
      </c>
      <c r="N505" s="15"/>
      <c r="O505" s="5" t="str">
        <f t="shared" si="266"/>
        <v/>
      </c>
    </row>
    <row r="506" spans="11:15" ht="12.5">
      <c r="K506" s="1" t="str">
        <v/>
      </c>
      <c r="M506" s="1" t="str">
        <f t="shared" si="265"/>
        <v/>
      </c>
      <c r="N506" s="15"/>
      <c r="O506" s="5" t="str">
        <f t="shared" si="266"/>
        <v/>
      </c>
    </row>
    <row r="507" spans="11:15" ht="12.5">
      <c r="K507" s="1" t="str">
        <v/>
      </c>
      <c r="M507" s="1" t="str">
        <f t="shared" si="265"/>
        <v/>
      </c>
      <c r="N507" s="15"/>
      <c r="O507" s="5" t="str">
        <f t="shared" si="266"/>
        <v/>
      </c>
    </row>
    <row r="508" spans="11:15" ht="12.5">
      <c r="K508" s="1" t="str">
        <v/>
      </c>
      <c r="M508" s="1" t="str">
        <f t="shared" si="265"/>
        <v/>
      </c>
      <c r="N508" s="15"/>
      <c r="O508" s="5" t="str">
        <f t="shared" si="266"/>
        <v/>
      </c>
    </row>
    <row r="509" spans="11:15" ht="12.5">
      <c r="K509" s="1" t="str">
        <v/>
      </c>
      <c r="M509" s="1" t="str">
        <f t="shared" si="265"/>
        <v/>
      </c>
      <c r="N509" s="15"/>
      <c r="O509" s="5" t="str">
        <f t="shared" si="266"/>
        <v/>
      </c>
    </row>
    <row r="510" spans="11:15" ht="12.5">
      <c r="K510" s="1" t="str">
        <v/>
      </c>
      <c r="M510" s="1" t="str">
        <f t="shared" si="265"/>
        <v/>
      </c>
      <c r="N510" s="15"/>
      <c r="O510" s="5" t="str">
        <f t="shared" si="266"/>
        <v/>
      </c>
    </row>
    <row r="511" spans="11:15" ht="12.5">
      <c r="K511" s="1" t="str">
        <v/>
      </c>
      <c r="M511" s="1" t="str">
        <f t="shared" si="265"/>
        <v/>
      </c>
      <c r="N511" s="15"/>
      <c r="O511" s="5" t="str">
        <f t="shared" si="266"/>
        <v/>
      </c>
    </row>
    <row r="512" spans="11:15" ht="12.5">
      <c r="K512" s="1" t="str">
        <v/>
      </c>
      <c r="M512" s="1" t="str">
        <f t="shared" si="265"/>
        <v/>
      </c>
      <c r="N512" s="15"/>
      <c r="O512" s="5" t="str">
        <f t="shared" si="266"/>
        <v/>
      </c>
    </row>
    <row r="513" spans="11:15" ht="12.5">
      <c r="K513" s="1" t="str">
        <v/>
      </c>
      <c r="M513" s="1" t="str">
        <f t="shared" si="265"/>
        <v/>
      </c>
      <c r="N513" s="15"/>
      <c r="O513" s="5" t="str">
        <f t="shared" si="266"/>
        <v/>
      </c>
    </row>
    <row r="514" spans="11:15" ht="12.5">
      <c r="K514" s="1" t="str">
        <v/>
      </c>
      <c r="M514" s="1" t="str">
        <f t="shared" si="265"/>
        <v/>
      </c>
      <c r="N514" s="15"/>
      <c r="O514" s="5" t="str">
        <f t="shared" si="266"/>
        <v/>
      </c>
    </row>
    <row r="515" spans="11:15" ht="12.5">
      <c r="K515" s="1" t="str">
        <v/>
      </c>
      <c r="M515" s="1" t="str">
        <f t="shared" ref="M515:M578" si="267">IF(G515="","",IF(LOWER(TRIM(G515))="north america","North America",IF(LOWER(TRIM(G515))="emea","EMEA",IF(LOWER(TRIM(G515))="apac","APAC",IF(LOWER(TRIM(G515))="latam","LATAM",TRIM(G515))))))</f>
        <v/>
      </c>
      <c r="N515" s="15"/>
      <c r="O515" s="5" t="str">
        <f t="shared" ref="O515:O578" si="268">IF(OR(H515="",N515=""),"",H515*N515)</f>
        <v/>
      </c>
    </row>
    <row r="516" spans="11:15" ht="12.5">
      <c r="K516" s="1" t="str">
        <v/>
      </c>
      <c r="M516" s="1" t="str">
        <f t="shared" si="267"/>
        <v/>
      </c>
      <c r="N516" s="15"/>
      <c r="O516" s="5" t="str">
        <f t="shared" si="268"/>
        <v/>
      </c>
    </row>
    <row r="517" spans="11:15" ht="12.5">
      <c r="K517" s="1" t="str">
        <v/>
      </c>
      <c r="M517" s="1" t="str">
        <f t="shared" si="267"/>
        <v/>
      </c>
      <c r="N517" s="15"/>
      <c r="O517" s="5" t="str">
        <f t="shared" si="268"/>
        <v/>
      </c>
    </row>
    <row r="518" spans="11:15" ht="12.5">
      <c r="K518" s="1" t="str">
        <v/>
      </c>
      <c r="M518" s="1" t="str">
        <f t="shared" si="267"/>
        <v/>
      </c>
      <c r="N518" s="15"/>
      <c r="O518" s="5" t="str">
        <f t="shared" si="268"/>
        <v/>
      </c>
    </row>
    <row r="519" spans="11:15" ht="12.5">
      <c r="K519" s="1" t="str">
        <v/>
      </c>
      <c r="M519" s="1" t="str">
        <f t="shared" si="267"/>
        <v/>
      </c>
      <c r="N519" s="15"/>
      <c r="O519" s="5" t="str">
        <f t="shared" si="268"/>
        <v/>
      </c>
    </row>
    <row r="520" spans="11:15" ht="12.5">
      <c r="K520" s="1" t="str">
        <v/>
      </c>
      <c r="M520" s="1" t="str">
        <f t="shared" si="267"/>
        <v/>
      </c>
      <c r="N520" s="15"/>
      <c r="O520" s="5" t="str">
        <f t="shared" si="268"/>
        <v/>
      </c>
    </row>
    <row r="521" spans="11:15" ht="12.5">
      <c r="K521" s="1" t="str">
        <v/>
      </c>
      <c r="M521" s="1" t="str">
        <f t="shared" si="267"/>
        <v/>
      </c>
      <c r="N521" s="15"/>
      <c r="O521" s="5" t="str">
        <f t="shared" si="268"/>
        <v/>
      </c>
    </row>
    <row r="522" spans="11:15" ht="12.5">
      <c r="K522" s="1" t="str">
        <v/>
      </c>
      <c r="M522" s="1" t="str">
        <f t="shared" si="267"/>
        <v/>
      </c>
      <c r="N522" s="15"/>
      <c r="O522" s="5" t="str">
        <f t="shared" si="268"/>
        <v/>
      </c>
    </row>
    <row r="523" spans="11:15" ht="12.5">
      <c r="K523" s="1" t="str">
        <v/>
      </c>
      <c r="M523" s="1" t="str">
        <f t="shared" si="267"/>
        <v/>
      </c>
      <c r="N523" s="15"/>
      <c r="O523" s="5" t="str">
        <f t="shared" si="268"/>
        <v/>
      </c>
    </row>
    <row r="524" spans="11:15" ht="12.5">
      <c r="K524" s="1" t="str">
        <v/>
      </c>
      <c r="M524" s="1" t="str">
        <f t="shared" si="267"/>
        <v/>
      </c>
      <c r="N524" s="15"/>
      <c r="O524" s="5" t="str">
        <f t="shared" si="268"/>
        <v/>
      </c>
    </row>
    <row r="525" spans="11:15" ht="12.5">
      <c r="K525" s="1" t="str">
        <v/>
      </c>
      <c r="M525" s="1" t="str">
        <f t="shared" si="267"/>
        <v/>
      </c>
      <c r="N525" s="15"/>
      <c r="O525" s="5" t="str">
        <f t="shared" si="268"/>
        <v/>
      </c>
    </row>
    <row r="526" spans="11:15" ht="12.5">
      <c r="K526" s="1" t="str">
        <v/>
      </c>
      <c r="M526" s="1" t="str">
        <f t="shared" si="267"/>
        <v/>
      </c>
      <c r="N526" s="15"/>
      <c r="O526" s="5" t="str">
        <f t="shared" si="268"/>
        <v/>
      </c>
    </row>
    <row r="527" spans="11:15" ht="12.5">
      <c r="K527" s="1" t="str">
        <v/>
      </c>
      <c r="M527" s="1" t="str">
        <f t="shared" si="267"/>
        <v/>
      </c>
      <c r="N527" s="15"/>
      <c r="O527" s="5" t="str">
        <f t="shared" si="268"/>
        <v/>
      </c>
    </row>
    <row r="528" spans="11:15" ht="12.5">
      <c r="K528" s="1" t="str">
        <v/>
      </c>
      <c r="M528" s="1" t="str">
        <f t="shared" si="267"/>
        <v/>
      </c>
      <c r="N528" s="15"/>
      <c r="O528" s="5" t="str">
        <f t="shared" si="268"/>
        <v/>
      </c>
    </row>
    <row r="529" spans="11:15" ht="12.5">
      <c r="K529" s="1" t="str">
        <v/>
      </c>
      <c r="M529" s="1" t="str">
        <f t="shared" si="267"/>
        <v/>
      </c>
      <c r="N529" s="15"/>
      <c r="O529" s="5" t="str">
        <f t="shared" si="268"/>
        <v/>
      </c>
    </row>
    <row r="530" spans="11:15" ht="12.5">
      <c r="K530" s="1" t="str">
        <v/>
      </c>
      <c r="M530" s="1" t="str">
        <f t="shared" si="267"/>
        <v/>
      </c>
      <c r="N530" s="15"/>
      <c r="O530" s="5" t="str">
        <f t="shared" si="268"/>
        <v/>
      </c>
    </row>
    <row r="531" spans="11:15" ht="12.5">
      <c r="K531" s="1" t="str">
        <v/>
      </c>
      <c r="M531" s="1" t="str">
        <f t="shared" si="267"/>
        <v/>
      </c>
      <c r="N531" s="15"/>
      <c r="O531" s="5" t="str">
        <f t="shared" si="268"/>
        <v/>
      </c>
    </row>
    <row r="532" spans="11:15" ht="12.5">
      <c r="K532" s="1" t="str">
        <v/>
      </c>
      <c r="M532" s="1" t="str">
        <f t="shared" si="267"/>
        <v/>
      </c>
      <c r="N532" s="15"/>
      <c r="O532" s="5" t="str">
        <f t="shared" si="268"/>
        <v/>
      </c>
    </row>
    <row r="533" spans="11:15" ht="12.5">
      <c r="K533" s="1" t="str">
        <v/>
      </c>
      <c r="M533" s="1" t="str">
        <f t="shared" si="267"/>
        <v/>
      </c>
      <c r="N533" s="15"/>
      <c r="O533" s="5" t="str">
        <f t="shared" si="268"/>
        <v/>
      </c>
    </row>
    <row r="534" spans="11:15" ht="12.5">
      <c r="K534" s="1" t="str">
        <v/>
      </c>
      <c r="M534" s="1" t="str">
        <f t="shared" si="267"/>
        <v/>
      </c>
      <c r="N534" s="15"/>
      <c r="O534" s="5" t="str">
        <f t="shared" si="268"/>
        <v/>
      </c>
    </row>
    <row r="535" spans="11:15" ht="12.5">
      <c r="K535" s="1" t="str">
        <v/>
      </c>
      <c r="M535" s="1" t="str">
        <f t="shared" si="267"/>
        <v/>
      </c>
      <c r="N535" s="15"/>
      <c r="O535" s="5" t="str">
        <f t="shared" si="268"/>
        <v/>
      </c>
    </row>
    <row r="536" spans="11:15" ht="12.5">
      <c r="K536" s="1" t="str">
        <v/>
      </c>
      <c r="M536" s="1" t="str">
        <f t="shared" si="267"/>
        <v/>
      </c>
      <c r="N536" s="15"/>
      <c r="O536" s="5" t="str">
        <f t="shared" si="268"/>
        <v/>
      </c>
    </row>
    <row r="537" spans="11:15" ht="12.5">
      <c r="K537" s="1" t="str">
        <v/>
      </c>
      <c r="M537" s="1" t="str">
        <f t="shared" si="267"/>
        <v/>
      </c>
      <c r="N537" s="15"/>
      <c r="O537" s="5" t="str">
        <f t="shared" si="268"/>
        <v/>
      </c>
    </row>
    <row r="538" spans="11:15" ht="12.5">
      <c r="K538" s="1" t="str">
        <v/>
      </c>
      <c r="M538" s="1" t="str">
        <f t="shared" si="267"/>
        <v/>
      </c>
      <c r="N538" s="15"/>
      <c r="O538" s="5" t="str">
        <f t="shared" si="268"/>
        <v/>
      </c>
    </row>
    <row r="539" spans="11:15" ht="12.5">
      <c r="K539" s="1" t="str">
        <v/>
      </c>
      <c r="M539" s="1" t="str">
        <f t="shared" si="267"/>
        <v/>
      </c>
      <c r="N539" s="15"/>
      <c r="O539" s="5" t="str">
        <f t="shared" si="268"/>
        <v/>
      </c>
    </row>
    <row r="540" spans="11:15" ht="12.5">
      <c r="K540" s="1" t="str">
        <v/>
      </c>
      <c r="M540" s="1" t="str">
        <f t="shared" si="267"/>
        <v/>
      </c>
      <c r="N540" s="15"/>
      <c r="O540" s="5" t="str">
        <f t="shared" si="268"/>
        <v/>
      </c>
    </row>
    <row r="541" spans="11:15" ht="12.5">
      <c r="K541" s="1" t="str">
        <v/>
      </c>
      <c r="M541" s="1" t="str">
        <f t="shared" si="267"/>
        <v/>
      </c>
      <c r="N541" s="15"/>
      <c r="O541" s="5" t="str">
        <f t="shared" si="268"/>
        <v/>
      </c>
    </row>
    <row r="542" spans="11:15" ht="12.5">
      <c r="K542" s="1" t="str">
        <v/>
      </c>
      <c r="M542" s="1" t="str">
        <f t="shared" si="267"/>
        <v/>
      </c>
      <c r="N542" s="15"/>
      <c r="O542" s="5" t="str">
        <f t="shared" si="268"/>
        <v/>
      </c>
    </row>
    <row r="543" spans="11:15" ht="12.5">
      <c r="K543" s="1" t="str">
        <v/>
      </c>
      <c r="M543" s="1" t="str">
        <f t="shared" si="267"/>
        <v/>
      </c>
      <c r="N543" s="15"/>
      <c r="O543" s="5" t="str">
        <f t="shared" si="268"/>
        <v/>
      </c>
    </row>
    <row r="544" spans="11:15" ht="12.5">
      <c r="K544" s="1" t="str">
        <v/>
      </c>
      <c r="M544" s="1" t="str">
        <f t="shared" si="267"/>
        <v/>
      </c>
      <c r="N544" s="15"/>
      <c r="O544" s="5" t="str">
        <f t="shared" si="268"/>
        <v/>
      </c>
    </row>
    <row r="545" spans="11:15" ht="12.5">
      <c r="K545" s="1" t="str">
        <v/>
      </c>
      <c r="M545" s="1" t="str">
        <f t="shared" si="267"/>
        <v/>
      </c>
      <c r="N545" s="15"/>
      <c r="O545" s="5" t="str">
        <f t="shared" si="268"/>
        <v/>
      </c>
    </row>
    <row r="546" spans="11:15" ht="12.5">
      <c r="K546" s="1" t="str">
        <v/>
      </c>
      <c r="M546" s="1" t="str">
        <f t="shared" si="267"/>
        <v/>
      </c>
      <c r="N546" s="15"/>
      <c r="O546" s="5" t="str">
        <f t="shared" si="268"/>
        <v/>
      </c>
    </row>
    <row r="547" spans="11:15" ht="12.5">
      <c r="K547" s="1" t="str">
        <v/>
      </c>
      <c r="M547" s="1" t="str">
        <f t="shared" si="267"/>
        <v/>
      </c>
      <c r="N547" s="15"/>
      <c r="O547" s="5" t="str">
        <f t="shared" si="268"/>
        <v/>
      </c>
    </row>
    <row r="548" spans="11:15" ht="12.5">
      <c r="K548" s="1" t="str">
        <v/>
      </c>
      <c r="M548" s="1" t="str">
        <f t="shared" si="267"/>
        <v/>
      </c>
      <c r="N548" s="15"/>
      <c r="O548" s="5" t="str">
        <f t="shared" si="268"/>
        <v/>
      </c>
    </row>
    <row r="549" spans="11:15" ht="12.5">
      <c r="K549" s="1" t="str">
        <v/>
      </c>
      <c r="M549" s="1" t="str">
        <f t="shared" si="267"/>
        <v/>
      </c>
      <c r="N549" s="15"/>
      <c r="O549" s="5" t="str">
        <f t="shared" si="268"/>
        <v/>
      </c>
    </row>
    <row r="550" spans="11:15" ht="12.5">
      <c r="K550" s="1" t="str">
        <v/>
      </c>
      <c r="M550" s="1" t="str">
        <f t="shared" si="267"/>
        <v/>
      </c>
      <c r="N550" s="15"/>
      <c r="O550" s="5" t="str">
        <f t="shared" si="268"/>
        <v/>
      </c>
    </row>
    <row r="551" spans="11:15" ht="12.5">
      <c r="K551" s="1" t="str">
        <v/>
      </c>
      <c r="M551" s="1" t="str">
        <f t="shared" si="267"/>
        <v/>
      </c>
      <c r="N551" s="15"/>
      <c r="O551" s="5" t="str">
        <f t="shared" si="268"/>
        <v/>
      </c>
    </row>
    <row r="552" spans="11:15" ht="12.5">
      <c r="K552" s="1" t="str">
        <v/>
      </c>
      <c r="M552" s="1" t="str">
        <f t="shared" si="267"/>
        <v/>
      </c>
      <c r="N552" s="15"/>
      <c r="O552" s="5" t="str">
        <f t="shared" si="268"/>
        <v/>
      </c>
    </row>
    <row r="553" spans="11:15" ht="12.5">
      <c r="K553" s="1" t="str">
        <v/>
      </c>
      <c r="M553" s="1" t="str">
        <f t="shared" si="267"/>
        <v/>
      </c>
      <c r="N553" s="15"/>
      <c r="O553" s="5" t="str">
        <f t="shared" si="268"/>
        <v/>
      </c>
    </row>
    <row r="554" spans="11:15" ht="12.5">
      <c r="K554" s="1" t="str">
        <v/>
      </c>
      <c r="M554" s="1" t="str">
        <f t="shared" si="267"/>
        <v/>
      </c>
      <c r="N554" s="15"/>
      <c r="O554" s="5" t="str">
        <f t="shared" si="268"/>
        <v/>
      </c>
    </row>
    <row r="555" spans="11:15" ht="12.5">
      <c r="K555" s="1" t="str">
        <v/>
      </c>
      <c r="M555" s="1" t="str">
        <f t="shared" si="267"/>
        <v/>
      </c>
      <c r="N555" s="15"/>
      <c r="O555" s="5" t="str">
        <f t="shared" si="268"/>
        <v/>
      </c>
    </row>
    <row r="556" spans="11:15" ht="12.5">
      <c r="K556" s="1" t="str">
        <v/>
      </c>
      <c r="M556" s="1" t="str">
        <f t="shared" si="267"/>
        <v/>
      </c>
      <c r="N556" s="15"/>
      <c r="O556" s="5" t="str">
        <f t="shared" si="268"/>
        <v/>
      </c>
    </row>
    <row r="557" spans="11:15" ht="12.5">
      <c r="K557" s="1" t="str">
        <v/>
      </c>
      <c r="M557" s="1" t="str">
        <f t="shared" si="267"/>
        <v/>
      </c>
      <c r="N557" s="15"/>
      <c r="O557" s="5" t="str">
        <f t="shared" si="268"/>
        <v/>
      </c>
    </row>
    <row r="558" spans="11:15" ht="12.5">
      <c r="K558" s="1" t="str">
        <v/>
      </c>
      <c r="M558" s="1" t="str">
        <f t="shared" si="267"/>
        <v/>
      </c>
      <c r="N558" s="15"/>
      <c r="O558" s="5" t="str">
        <f t="shared" si="268"/>
        <v/>
      </c>
    </row>
    <row r="559" spans="11:15" ht="12.5">
      <c r="K559" s="1" t="str">
        <v/>
      </c>
      <c r="M559" s="1" t="str">
        <f t="shared" si="267"/>
        <v/>
      </c>
      <c r="N559" s="15"/>
      <c r="O559" s="5" t="str">
        <f t="shared" si="268"/>
        <v/>
      </c>
    </row>
    <row r="560" spans="11:15" ht="12.5">
      <c r="K560" s="1" t="str">
        <v/>
      </c>
      <c r="M560" s="1" t="str">
        <f t="shared" si="267"/>
        <v/>
      </c>
      <c r="N560" s="15"/>
      <c r="O560" s="5" t="str">
        <f t="shared" si="268"/>
        <v/>
      </c>
    </row>
    <row r="561" spans="11:15" ht="12.5">
      <c r="K561" s="1" t="str">
        <v/>
      </c>
      <c r="M561" s="1" t="str">
        <f t="shared" si="267"/>
        <v/>
      </c>
      <c r="N561" s="15"/>
      <c r="O561" s="5" t="str">
        <f t="shared" si="268"/>
        <v/>
      </c>
    </row>
    <row r="562" spans="11:15" ht="12.5">
      <c r="K562" s="1" t="str">
        <v/>
      </c>
      <c r="M562" s="1" t="str">
        <f t="shared" si="267"/>
        <v/>
      </c>
      <c r="N562" s="15"/>
      <c r="O562" s="5" t="str">
        <f t="shared" si="268"/>
        <v/>
      </c>
    </row>
    <row r="563" spans="11:15" ht="12.5">
      <c r="K563" s="1" t="str">
        <v/>
      </c>
      <c r="M563" s="1" t="str">
        <f t="shared" si="267"/>
        <v/>
      </c>
      <c r="N563" s="15"/>
      <c r="O563" s="5" t="str">
        <f t="shared" si="268"/>
        <v/>
      </c>
    </row>
    <row r="564" spans="11:15" ht="12.5">
      <c r="K564" s="1" t="str">
        <v/>
      </c>
      <c r="M564" s="1" t="str">
        <f t="shared" si="267"/>
        <v/>
      </c>
      <c r="N564" s="15"/>
      <c r="O564" s="5" t="str">
        <f t="shared" si="268"/>
        <v/>
      </c>
    </row>
    <row r="565" spans="11:15" ht="12.5">
      <c r="K565" s="1" t="str">
        <v/>
      </c>
      <c r="M565" s="1" t="str">
        <f t="shared" si="267"/>
        <v/>
      </c>
      <c r="N565" s="15"/>
      <c r="O565" s="5" t="str">
        <f t="shared" si="268"/>
        <v/>
      </c>
    </row>
    <row r="566" spans="11:15" ht="12.5">
      <c r="K566" s="1" t="str">
        <v/>
      </c>
      <c r="M566" s="1" t="str">
        <f t="shared" si="267"/>
        <v/>
      </c>
      <c r="N566" s="15"/>
      <c r="O566" s="5" t="str">
        <f t="shared" si="268"/>
        <v/>
      </c>
    </row>
    <row r="567" spans="11:15" ht="12.5">
      <c r="K567" s="1" t="str">
        <v/>
      </c>
      <c r="M567" s="1" t="str">
        <f t="shared" si="267"/>
        <v/>
      </c>
      <c r="N567" s="15"/>
      <c r="O567" s="5" t="str">
        <f t="shared" si="268"/>
        <v/>
      </c>
    </row>
    <row r="568" spans="11:15" ht="12.5">
      <c r="K568" s="1" t="str">
        <v/>
      </c>
      <c r="M568" s="1" t="str">
        <f t="shared" si="267"/>
        <v/>
      </c>
      <c r="N568" s="15"/>
      <c r="O568" s="5" t="str">
        <f t="shared" si="268"/>
        <v/>
      </c>
    </row>
    <row r="569" spans="11:15" ht="12.5">
      <c r="K569" s="1" t="str">
        <v/>
      </c>
      <c r="M569" s="1" t="str">
        <f t="shared" si="267"/>
        <v/>
      </c>
      <c r="N569" s="15"/>
      <c r="O569" s="5" t="str">
        <f t="shared" si="268"/>
        <v/>
      </c>
    </row>
    <row r="570" spans="11:15" ht="12.5">
      <c r="K570" s="1" t="str">
        <v/>
      </c>
      <c r="M570" s="1" t="str">
        <f t="shared" si="267"/>
        <v/>
      </c>
      <c r="N570" s="15"/>
      <c r="O570" s="5" t="str">
        <f t="shared" si="268"/>
        <v/>
      </c>
    </row>
    <row r="571" spans="11:15" ht="12.5">
      <c r="K571" s="1" t="str">
        <v/>
      </c>
      <c r="M571" s="1" t="str">
        <f t="shared" si="267"/>
        <v/>
      </c>
      <c r="N571" s="15"/>
      <c r="O571" s="5" t="str">
        <f t="shared" si="268"/>
        <v/>
      </c>
    </row>
    <row r="572" spans="11:15" ht="12.5">
      <c r="K572" s="1" t="str">
        <v/>
      </c>
      <c r="M572" s="1" t="str">
        <f t="shared" si="267"/>
        <v/>
      </c>
      <c r="N572" s="15"/>
      <c r="O572" s="5" t="str">
        <f t="shared" si="268"/>
        <v/>
      </c>
    </row>
    <row r="573" spans="11:15" ht="12.5">
      <c r="K573" s="1" t="str">
        <v/>
      </c>
      <c r="M573" s="1" t="str">
        <f t="shared" si="267"/>
        <v/>
      </c>
      <c r="N573" s="15"/>
      <c r="O573" s="5" t="str">
        <f t="shared" si="268"/>
        <v/>
      </c>
    </row>
    <row r="574" spans="11:15" ht="12.5">
      <c r="K574" s="1" t="str">
        <v/>
      </c>
      <c r="M574" s="1" t="str">
        <f t="shared" si="267"/>
        <v/>
      </c>
      <c r="N574" s="15"/>
      <c r="O574" s="5" t="str">
        <f t="shared" si="268"/>
        <v/>
      </c>
    </row>
    <row r="575" spans="11:15" ht="12.5">
      <c r="K575" s="1" t="str">
        <v/>
      </c>
      <c r="M575" s="1" t="str">
        <f t="shared" si="267"/>
        <v/>
      </c>
      <c r="N575" s="15"/>
      <c r="O575" s="5" t="str">
        <f t="shared" si="268"/>
        <v/>
      </c>
    </row>
    <row r="576" spans="11:15" ht="12.5">
      <c r="K576" s="1" t="str">
        <v/>
      </c>
      <c r="M576" s="1" t="str">
        <f t="shared" si="267"/>
        <v/>
      </c>
      <c r="N576" s="15"/>
      <c r="O576" s="5" t="str">
        <f t="shared" si="268"/>
        <v/>
      </c>
    </row>
    <row r="577" spans="11:15" ht="12.5">
      <c r="K577" s="1" t="str">
        <v/>
      </c>
      <c r="M577" s="1" t="str">
        <f t="shared" si="267"/>
        <v/>
      </c>
      <c r="N577" s="15"/>
      <c r="O577" s="5" t="str">
        <f t="shared" si="268"/>
        <v/>
      </c>
    </row>
    <row r="578" spans="11:15" ht="12.5">
      <c r="K578" s="1" t="str">
        <v/>
      </c>
      <c r="M578" s="1" t="str">
        <f t="shared" si="267"/>
        <v/>
      </c>
      <c r="N578" s="15"/>
      <c r="O578" s="5" t="str">
        <f t="shared" si="268"/>
        <v/>
      </c>
    </row>
    <row r="579" spans="11:15" ht="12.5">
      <c r="K579" s="1" t="str">
        <v/>
      </c>
      <c r="M579" s="1" t="str">
        <f t="shared" ref="M579:M642" si="269">IF(G579="","",IF(LOWER(TRIM(G579))="north america","North America",IF(LOWER(TRIM(G579))="emea","EMEA",IF(LOWER(TRIM(G579))="apac","APAC",IF(LOWER(TRIM(G579))="latam","LATAM",TRIM(G579))))))</f>
        <v/>
      </c>
      <c r="N579" s="15"/>
      <c r="O579" s="5" t="str">
        <f t="shared" ref="O579:O642" si="270">IF(OR(H579="",N579=""),"",H579*N579)</f>
        <v/>
      </c>
    </row>
    <row r="580" spans="11:15" ht="12.5">
      <c r="K580" s="1" t="str">
        <v/>
      </c>
      <c r="M580" s="1" t="str">
        <f t="shared" si="269"/>
        <v/>
      </c>
      <c r="N580" s="15"/>
      <c r="O580" s="5" t="str">
        <f t="shared" si="270"/>
        <v/>
      </c>
    </row>
    <row r="581" spans="11:15" ht="12.5">
      <c r="K581" s="1" t="str">
        <v/>
      </c>
      <c r="M581" s="1" t="str">
        <f t="shared" si="269"/>
        <v/>
      </c>
      <c r="N581" s="15"/>
      <c r="O581" s="5" t="str">
        <f t="shared" si="270"/>
        <v/>
      </c>
    </row>
    <row r="582" spans="11:15" ht="12.5">
      <c r="K582" s="1" t="str">
        <v/>
      </c>
      <c r="M582" s="1" t="str">
        <f t="shared" si="269"/>
        <v/>
      </c>
      <c r="N582" s="15"/>
      <c r="O582" s="5" t="str">
        <f t="shared" si="270"/>
        <v/>
      </c>
    </row>
    <row r="583" spans="11:15" ht="12.5">
      <c r="K583" s="1" t="str">
        <v/>
      </c>
      <c r="M583" s="1" t="str">
        <f t="shared" si="269"/>
        <v/>
      </c>
      <c r="N583" s="15"/>
      <c r="O583" s="5" t="str">
        <f t="shared" si="270"/>
        <v/>
      </c>
    </row>
    <row r="584" spans="11:15" ht="12.5">
      <c r="K584" s="1" t="str">
        <v/>
      </c>
      <c r="M584" s="1" t="str">
        <f t="shared" si="269"/>
        <v/>
      </c>
      <c r="N584" s="15"/>
      <c r="O584" s="5" t="str">
        <f t="shared" si="270"/>
        <v/>
      </c>
    </row>
    <row r="585" spans="11:15" ht="12.5">
      <c r="K585" s="1" t="str">
        <v/>
      </c>
      <c r="M585" s="1" t="str">
        <f t="shared" si="269"/>
        <v/>
      </c>
      <c r="N585" s="15"/>
      <c r="O585" s="5" t="str">
        <f t="shared" si="270"/>
        <v/>
      </c>
    </row>
    <row r="586" spans="11:15" ht="12.5">
      <c r="K586" s="1" t="str">
        <v/>
      </c>
      <c r="M586" s="1" t="str">
        <f t="shared" si="269"/>
        <v/>
      </c>
      <c r="N586" s="15"/>
      <c r="O586" s="5" t="str">
        <f t="shared" si="270"/>
        <v/>
      </c>
    </row>
    <row r="587" spans="11:15" ht="12.5">
      <c r="K587" s="1" t="str">
        <v/>
      </c>
      <c r="M587" s="1" t="str">
        <f t="shared" si="269"/>
        <v/>
      </c>
      <c r="N587" s="15"/>
      <c r="O587" s="5" t="str">
        <f t="shared" si="270"/>
        <v/>
      </c>
    </row>
    <row r="588" spans="11:15" ht="12.5">
      <c r="K588" s="1" t="str">
        <v/>
      </c>
      <c r="M588" s="1" t="str">
        <f t="shared" si="269"/>
        <v/>
      </c>
      <c r="N588" s="15"/>
      <c r="O588" s="5" t="str">
        <f t="shared" si="270"/>
        <v/>
      </c>
    </row>
    <row r="589" spans="11:15" ht="12.5">
      <c r="K589" s="1" t="str">
        <v/>
      </c>
      <c r="M589" s="1" t="str">
        <f t="shared" si="269"/>
        <v/>
      </c>
      <c r="N589" s="15"/>
      <c r="O589" s="5" t="str">
        <f t="shared" si="270"/>
        <v/>
      </c>
    </row>
    <row r="590" spans="11:15" ht="12.5">
      <c r="K590" s="1" t="str">
        <v/>
      </c>
      <c r="M590" s="1" t="str">
        <f t="shared" si="269"/>
        <v/>
      </c>
      <c r="N590" s="15"/>
      <c r="O590" s="5" t="str">
        <f t="shared" si="270"/>
        <v/>
      </c>
    </row>
    <row r="591" spans="11:15" ht="12.5">
      <c r="K591" s="1" t="str">
        <v/>
      </c>
      <c r="M591" s="1" t="str">
        <f t="shared" si="269"/>
        <v/>
      </c>
      <c r="N591" s="15"/>
      <c r="O591" s="5" t="str">
        <f t="shared" si="270"/>
        <v/>
      </c>
    </row>
    <row r="592" spans="11:15" ht="12.5">
      <c r="K592" s="1" t="str">
        <v/>
      </c>
      <c r="M592" s="1" t="str">
        <f t="shared" si="269"/>
        <v/>
      </c>
      <c r="N592" s="15"/>
      <c r="O592" s="5" t="str">
        <f t="shared" si="270"/>
        <v/>
      </c>
    </row>
    <row r="593" spans="11:15" ht="12.5">
      <c r="K593" s="1" t="str">
        <v/>
      </c>
      <c r="M593" s="1" t="str">
        <f t="shared" si="269"/>
        <v/>
      </c>
      <c r="N593" s="15"/>
      <c r="O593" s="5" t="str">
        <f t="shared" si="270"/>
        <v/>
      </c>
    </row>
    <row r="594" spans="11:15" ht="12.5">
      <c r="K594" s="1" t="str">
        <v/>
      </c>
      <c r="M594" s="1" t="str">
        <f t="shared" si="269"/>
        <v/>
      </c>
      <c r="N594" s="15"/>
      <c r="O594" s="5" t="str">
        <f t="shared" si="270"/>
        <v/>
      </c>
    </row>
    <row r="595" spans="11:15" ht="12.5">
      <c r="K595" s="1" t="str">
        <v/>
      </c>
      <c r="M595" s="1" t="str">
        <f t="shared" si="269"/>
        <v/>
      </c>
      <c r="N595" s="15"/>
      <c r="O595" s="5" t="str">
        <f t="shared" si="270"/>
        <v/>
      </c>
    </row>
    <row r="596" spans="11:15" ht="12.5">
      <c r="K596" s="1" t="str">
        <v/>
      </c>
      <c r="M596" s="1" t="str">
        <f t="shared" si="269"/>
        <v/>
      </c>
      <c r="N596" s="15"/>
      <c r="O596" s="5" t="str">
        <f t="shared" si="270"/>
        <v/>
      </c>
    </row>
    <row r="597" spans="11:15" ht="12.5">
      <c r="K597" s="1" t="str">
        <v/>
      </c>
      <c r="M597" s="1" t="str">
        <f t="shared" si="269"/>
        <v/>
      </c>
      <c r="N597" s="15"/>
      <c r="O597" s="5" t="str">
        <f t="shared" si="270"/>
        <v/>
      </c>
    </row>
    <row r="598" spans="11:15" ht="12.5">
      <c r="K598" s="1" t="str">
        <v/>
      </c>
      <c r="M598" s="1" t="str">
        <f t="shared" si="269"/>
        <v/>
      </c>
      <c r="N598" s="15"/>
      <c r="O598" s="5" t="str">
        <f t="shared" si="270"/>
        <v/>
      </c>
    </row>
    <row r="599" spans="11:15" ht="12.5">
      <c r="K599" s="1" t="str">
        <v/>
      </c>
      <c r="M599" s="1" t="str">
        <f t="shared" si="269"/>
        <v/>
      </c>
      <c r="N599" s="15"/>
      <c r="O599" s="5" t="str">
        <f t="shared" si="270"/>
        <v/>
      </c>
    </row>
    <row r="600" spans="11:15" ht="12.5">
      <c r="K600" s="1" t="str">
        <v/>
      </c>
      <c r="M600" s="1" t="str">
        <f t="shared" si="269"/>
        <v/>
      </c>
      <c r="N600" s="15"/>
      <c r="O600" s="5" t="str">
        <f t="shared" si="270"/>
        <v/>
      </c>
    </row>
    <row r="601" spans="11:15" ht="12.5">
      <c r="K601" s="1" t="str">
        <v/>
      </c>
      <c r="M601" s="1" t="str">
        <f t="shared" si="269"/>
        <v/>
      </c>
      <c r="N601" s="15"/>
      <c r="O601" s="5" t="str">
        <f t="shared" si="270"/>
        <v/>
      </c>
    </row>
    <row r="602" spans="11:15" ht="12.5">
      <c r="K602" s="1" t="str">
        <v/>
      </c>
      <c r="M602" s="1" t="str">
        <f t="shared" si="269"/>
        <v/>
      </c>
      <c r="N602" s="15"/>
      <c r="O602" s="5" t="str">
        <f t="shared" si="270"/>
        <v/>
      </c>
    </row>
    <row r="603" spans="11:15" ht="12.5">
      <c r="K603" s="1" t="str">
        <v/>
      </c>
      <c r="M603" s="1" t="str">
        <f t="shared" si="269"/>
        <v/>
      </c>
      <c r="N603" s="15"/>
      <c r="O603" s="5" t="str">
        <f t="shared" si="270"/>
        <v/>
      </c>
    </row>
    <row r="604" spans="11:15" ht="12.5">
      <c r="K604" s="1" t="str">
        <v/>
      </c>
      <c r="M604" s="1" t="str">
        <f t="shared" si="269"/>
        <v/>
      </c>
      <c r="N604" s="15"/>
      <c r="O604" s="5" t="str">
        <f t="shared" si="270"/>
        <v/>
      </c>
    </row>
    <row r="605" spans="11:15" ht="12.5">
      <c r="K605" s="1" t="str">
        <v/>
      </c>
      <c r="M605" s="1" t="str">
        <f t="shared" si="269"/>
        <v/>
      </c>
      <c r="N605" s="15"/>
      <c r="O605" s="5" t="str">
        <f t="shared" si="270"/>
        <v/>
      </c>
    </row>
    <row r="606" spans="11:15" ht="12.5">
      <c r="K606" s="1" t="str">
        <v/>
      </c>
      <c r="M606" s="1" t="str">
        <f t="shared" si="269"/>
        <v/>
      </c>
      <c r="N606" s="15"/>
      <c r="O606" s="5" t="str">
        <f t="shared" si="270"/>
        <v/>
      </c>
    </row>
    <row r="607" spans="11:15" ht="12.5">
      <c r="K607" s="1" t="str">
        <v/>
      </c>
      <c r="M607" s="1" t="str">
        <f t="shared" si="269"/>
        <v/>
      </c>
      <c r="N607" s="15"/>
      <c r="O607" s="5" t="str">
        <f t="shared" si="270"/>
        <v/>
      </c>
    </row>
    <row r="608" spans="11:15" ht="12.5">
      <c r="K608" s="1" t="str">
        <v/>
      </c>
      <c r="M608" s="1" t="str">
        <f t="shared" si="269"/>
        <v/>
      </c>
      <c r="N608" s="15"/>
      <c r="O608" s="5" t="str">
        <f t="shared" si="270"/>
        <v/>
      </c>
    </row>
    <row r="609" spans="11:15" ht="12.5">
      <c r="K609" s="1" t="str">
        <v/>
      </c>
      <c r="M609" s="1" t="str">
        <f t="shared" si="269"/>
        <v/>
      </c>
      <c r="N609" s="15"/>
      <c r="O609" s="5" t="str">
        <f t="shared" si="270"/>
        <v/>
      </c>
    </row>
    <row r="610" spans="11:15" ht="12.5">
      <c r="K610" s="1" t="str">
        <v/>
      </c>
      <c r="M610" s="1" t="str">
        <f t="shared" si="269"/>
        <v/>
      </c>
      <c r="N610" s="15"/>
      <c r="O610" s="5" t="str">
        <f t="shared" si="270"/>
        <v/>
      </c>
    </row>
    <row r="611" spans="11:15" ht="12.5">
      <c r="K611" s="1" t="str">
        <v/>
      </c>
      <c r="M611" s="1" t="str">
        <f t="shared" si="269"/>
        <v/>
      </c>
      <c r="N611" s="15"/>
      <c r="O611" s="5" t="str">
        <f t="shared" si="270"/>
        <v/>
      </c>
    </row>
    <row r="612" spans="11:15" ht="12.5">
      <c r="K612" s="1" t="str">
        <v/>
      </c>
      <c r="M612" s="1" t="str">
        <f t="shared" si="269"/>
        <v/>
      </c>
      <c r="N612" s="15"/>
      <c r="O612" s="5" t="str">
        <f t="shared" si="270"/>
        <v/>
      </c>
    </row>
    <row r="613" spans="11:15" ht="12.5">
      <c r="K613" s="1" t="str">
        <v/>
      </c>
      <c r="M613" s="1" t="str">
        <f t="shared" si="269"/>
        <v/>
      </c>
      <c r="N613" s="15"/>
      <c r="O613" s="5" t="str">
        <f t="shared" si="270"/>
        <v/>
      </c>
    </row>
    <row r="614" spans="11:15" ht="12.5">
      <c r="K614" s="1" t="str">
        <v/>
      </c>
      <c r="M614" s="1" t="str">
        <f t="shared" si="269"/>
        <v/>
      </c>
      <c r="N614" s="15"/>
      <c r="O614" s="5" t="str">
        <f t="shared" si="270"/>
        <v/>
      </c>
    </row>
    <row r="615" spans="11:15" ht="12.5">
      <c r="K615" s="1" t="str">
        <v/>
      </c>
      <c r="M615" s="1" t="str">
        <f t="shared" si="269"/>
        <v/>
      </c>
      <c r="N615" s="15"/>
      <c r="O615" s="5" t="str">
        <f t="shared" si="270"/>
        <v/>
      </c>
    </row>
    <row r="616" spans="11:15" ht="12.5">
      <c r="K616" s="1" t="str">
        <v/>
      </c>
      <c r="M616" s="1" t="str">
        <f t="shared" si="269"/>
        <v/>
      </c>
      <c r="N616" s="15"/>
      <c r="O616" s="5" t="str">
        <f t="shared" si="270"/>
        <v/>
      </c>
    </row>
    <row r="617" spans="11:15" ht="12.5">
      <c r="K617" s="1" t="str">
        <v/>
      </c>
      <c r="M617" s="1" t="str">
        <f t="shared" si="269"/>
        <v/>
      </c>
      <c r="N617" s="15"/>
      <c r="O617" s="5" t="str">
        <f t="shared" si="270"/>
        <v/>
      </c>
    </row>
    <row r="618" spans="11:15" ht="12.5">
      <c r="K618" s="1" t="str">
        <v/>
      </c>
      <c r="M618" s="1" t="str">
        <f t="shared" si="269"/>
        <v/>
      </c>
      <c r="N618" s="15"/>
      <c r="O618" s="5" t="str">
        <f t="shared" si="270"/>
        <v/>
      </c>
    </row>
    <row r="619" spans="11:15" ht="12.5">
      <c r="K619" s="1" t="str">
        <v/>
      </c>
      <c r="M619" s="1" t="str">
        <f t="shared" si="269"/>
        <v/>
      </c>
      <c r="N619" s="15"/>
      <c r="O619" s="5" t="str">
        <f t="shared" si="270"/>
        <v/>
      </c>
    </row>
    <row r="620" spans="11:15" ht="12.5">
      <c r="K620" s="1" t="str">
        <v/>
      </c>
      <c r="M620" s="1" t="str">
        <f t="shared" si="269"/>
        <v/>
      </c>
      <c r="N620" s="15"/>
      <c r="O620" s="5" t="str">
        <f t="shared" si="270"/>
        <v/>
      </c>
    </row>
    <row r="621" spans="11:15" ht="12.5">
      <c r="K621" s="1" t="str">
        <v/>
      </c>
      <c r="M621" s="1" t="str">
        <f t="shared" si="269"/>
        <v/>
      </c>
      <c r="N621" s="15"/>
      <c r="O621" s="5" t="str">
        <f t="shared" si="270"/>
        <v/>
      </c>
    </row>
    <row r="622" spans="11:15" ht="12.5">
      <c r="K622" s="1" t="str">
        <v/>
      </c>
      <c r="M622" s="1" t="str">
        <f t="shared" si="269"/>
        <v/>
      </c>
      <c r="N622" s="15"/>
      <c r="O622" s="5" t="str">
        <f t="shared" si="270"/>
        <v/>
      </c>
    </row>
    <row r="623" spans="11:15" ht="12.5">
      <c r="K623" s="1" t="str">
        <v/>
      </c>
      <c r="M623" s="1" t="str">
        <f t="shared" si="269"/>
        <v/>
      </c>
      <c r="N623" s="15"/>
      <c r="O623" s="5" t="str">
        <f t="shared" si="270"/>
        <v/>
      </c>
    </row>
    <row r="624" spans="11:15" ht="12.5">
      <c r="K624" s="1" t="str">
        <v/>
      </c>
      <c r="M624" s="1" t="str">
        <f t="shared" si="269"/>
        <v/>
      </c>
      <c r="N624" s="15"/>
      <c r="O624" s="5" t="str">
        <f t="shared" si="270"/>
        <v/>
      </c>
    </row>
    <row r="625" spans="11:15" ht="12.5">
      <c r="K625" s="1" t="str">
        <v/>
      </c>
      <c r="M625" s="1" t="str">
        <f t="shared" si="269"/>
        <v/>
      </c>
      <c r="N625" s="15"/>
      <c r="O625" s="5" t="str">
        <f t="shared" si="270"/>
        <v/>
      </c>
    </row>
    <row r="626" spans="11:15" ht="12.5">
      <c r="K626" s="1" t="str">
        <v/>
      </c>
      <c r="M626" s="1" t="str">
        <f t="shared" si="269"/>
        <v/>
      </c>
      <c r="N626" s="15"/>
      <c r="O626" s="5" t="str">
        <f t="shared" si="270"/>
        <v/>
      </c>
    </row>
    <row r="627" spans="11:15" ht="12.5">
      <c r="K627" s="1" t="str">
        <v/>
      </c>
      <c r="M627" s="1" t="str">
        <f t="shared" si="269"/>
        <v/>
      </c>
      <c r="N627" s="15"/>
      <c r="O627" s="5" t="str">
        <f t="shared" si="270"/>
        <v/>
      </c>
    </row>
    <row r="628" spans="11:15" ht="12.5">
      <c r="K628" s="1" t="str">
        <v/>
      </c>
      <c r="M628" s="1" t="str">
        <f t="shared" si="269"/>
        <v/>
      </c>
      <c r="N628" s="15"/>
      <c r="O628" s="5" t="str">
        <f t="shared" si="270"/>
        <v/>
      </c>
    </row>
    <row r="629" spans="11:15" ht="12.5">
      <c r="K629" s="1" t="str">
        <v/>
      </c>
      <c r="M629" s="1" t="str">
        <f t="shared" si="269"/>
        <v/>
      </c>
      <c r="N629" s="15"/>
      <c r="O629" s="5" t="str">
        <f t="shared" si="270"/>
        <v/>
      </c>
    </row>
    <row r="630" spans="11:15" ht="12.5">
      <c r="K630" s="1" t="str">
        <v/>
      </c>
      <c r="M630" s="1" t="str">
        <f t="shared" si="269"/>
        <v/>
      </c>
      <c r="N630" s="15"/>
      <c r="O630" s="5" t="str">
        <f t="shared" si="270"/>
        <v/>
      </c>
    </row>
    <row r="631" spans="11:15" ht="12.5">
      <c r="K631" s="1" t="str">
        <v/>
      </c>
      <c r="M631" s="1" t="str">
        <f t="shared" si="269"/>
        <v/>
      </c>
      <c r="N631" s="15"/>
      <c r="O631" s="5" t="str">
        <f t="shared" si="270"/>
        <v/>
      </c>
    </row>
    <row r="632" spans="11:15" ht="12.5">
      <c r="K632" s="1" t="str">
        <v/>
      </c>
      <c r="M632" s="1" t="str">
        <f t="shared" si="269"/>
        <v/>
      </c>
      <c r="N632" s="15"/>
      <c r="O632" s="5" t="str">
        <f t="shared" si="270"/>
        <v/>
      </c>
    </row>
    <row r="633" spans="11:15" ht="12.5">
      <c r="K633" s="1" t="str">
        <v/>
      </c>
      <c r="M633" s="1" t="str">
        <f t="shared" si="269"/>
        <v/>
      </c>
      <c r="N633" s="15"/>
      <c r="O633" s="5" t="str">
        <f t="shared" si="270"/>
        <v/>
      </c>
    </row>
    <row r="634" spans="11:15" ht="12.5">
      <c r="K634" s="1" t="str">
        <v/>
      </c>
      <c r="M634" s="1" t="str">
        <f t="shared" si="269"/>
        <v/>
      </c>
      <c r="N634" s="15"/>
      <c r="O634" s="5" t="str">
        <f t="shared" si="270"/>
        <v/>
      </c>
    </row>
    <row r="635" spans="11:15" ht="12.5">
      <c r="K635" s="1" t="str">
        <v/>
      </c>
      <c r="M635" s="1" t="str">
        <f t="shared" si="269"/>
        <v/>
      </c>
      <c r="N635" s="15"/>
      <c r="O635" s="5" t="str">
        <f t="shared" si="270"/>
        <v/>
      </c>
    </row>
    <row r="636" spans="11:15" ht="12.5">
      <c r="K636" s="1" t="str">
        <v/>
      </c>
      <c r="M636" s="1" t="str">
        <f t="shared" si="269"/>
        <v/>
      </c>
      <c r="N636" s="15"/>
      <c r="O636" s="5" t="str">
        <f t="shared" si="270"/>
        <v/>
      </c>
    </row>
    <row r="637" spans="11:15" ht="12.5">
      <c r="K637" s="1" t="str">
        <v/>
      </c>
      <c r="M637" s="1" t="str">
        <f t="shared" si="269"/>
        <v/>
      </c>
      <c r="N637" s="15"/>
      <c r="O637" s="5" t="str">
        <f t="shared" si="270"/>
        <v/>
      </c>
    </row>
    <row r="638" spans="11:15" ht="12.5">
      <c r="K638" s="1" t="str">
        <v/>
      </c>
      <c r="M638" s="1" t="str">
        <f t="shared" si="269"/>
        <v/>
      </c>
      <c r="N638" s="15"/>
      <c r="O638" s="5" t="str">
        <f t="shared" si="270"/>
        <v/>
      </c>
    </row>
    <row r="639" spans="11:15" ht="12.5">
      <c r="K639" s="1" t="str">
        <v/>
      </c>
      <c r="M639" s="1" t="str">
        <f t="shared" si="269"/>
        <v/>
      </c>
      <c r="N639" s="15"/>
      <c r="O639" s="5" t="str">
        <f t="shared" si="270"/>
        <v/>
      </c>
    </row>
    <row r="640" spans="11:15" ht="12.5">
      <c r="K640" s="1" t="str">
        <v/>
      </c>
      <c r="M640" s="1" t="str">
        <f t="shared" si="269"/>
        <v/>
      </c>
      <c r="N640" s="15"/>
      <c r="O640" s="5" t="str">
        <f t="shared" si="270"/>
        <v/>
      </c>
    </row>
    <row r="641" spans="11:15" ht="12.5">
      <c r="K641" s="1" t="str">
        <v/>
      </c>
      <c r="M641" s="1" t="str">
        <f t="shared" si="269"/>
        <v/>
      </c>
      <c r="N641" s="15"/>
      <c r="O641" s="5" t="str">
        <f t="shared" si="270"/>
        <v/>
      </c>
    </row>
    <row r="642" spans="11:15" ht="12.5">
      <c r="K642" s="1" t="str">
        <v/>
      </c>
      <c r="M642" s="1" t="str">
        <f t="shared" si="269"/>
        <v/>
      </c>
      <c r="N642" s="15"/>
      <c r="O642" s="5" t="str">
        <f t="shared" si="270"/>
        <v/>
      </c>
    </row>
    <row r="643" spans="11:15" ht="12.5">
      <c r="K643" s="1" t="str">
        <v/>
      </c>
      <c r="M643" s="1" t="str">
        <f t="shared" ref="M643:M706" si="271">IF(G643="","",IF(LOWER(TRIM(G643))="north america","North America",IF(LOWER(TRIM(G643))="emea","EMEA",IF(LOWER(TRIM(G643))="apac","APAC",IF(LOWER(TRIM(G643))="latam","LATAM",TRIM(G643))))))</f>
        <v/>
      </c>
      <c r="N643" s="15"/>
      <c r="O643" s="5" t="str">
        <f t="shared" ref="O643:O706" si="272">IF(OR(H643="",N643=""),"",H643*N643)</f>
        <v/>
      </c>
    </row>
    <row r="644" spans="11:15" ht="12.5">
      <c r="K644" s="1" t="str">
        <v/>
      </c>
      <c r="M644" s="1" t="str">
        <f t="shared" si="271"/>
        <v/>
      </c>
      <c r="N644" s="15"/>
      <c r="O644" s="5" t="str">
        <f t="shared" si="272"/>
        <v/>
      </c>
    </row>
    <row r="645" spans="11:15" ht="12.5">
      <c r="K645" s="1" t="str">
        <v/>
      </c>
      <c r="M645" s="1" t="str">
        <f t="shared" si="271"/>
        <v/>
      </c>
      <c r="N645" s="15"/>
      <c r="O645" s="5" t="str">
        <f t="shared" si="272"/>
        <v/>
      </c>
    </row>
    <row r="646" spans="11:15" ht="12.5">
      <c r="K646" s="1" t="str">
        <v/>
      </c>
      <c r="M646" s="1" t="str">
        <f t="shared" si="271"/>
        <v/>
      </c>
      <c r="N646" s="15"/>
      <c r="O646" s="5" t="str">
        <f t="shared" si="272"/>
        <v/>
      </c>
    </row>
    <row r="647" spans="11:15" ht="12.5">
      <c r="K647" s="1" t="str">
        <v/>
      </c>
      <c r="M647" s="1" t="str">
        <f t="shared" si="271"/>
        <v/>
      </c>
      <c r="N647" s="15"/>
      <c r="O647" s="5" t="str">
        <f t="shared" si="272"/>
        <v/>
      </c>
    </row>
    <row r="648" spans="11:15" ht="12.5">
      <c r="K648" s="1" t="str">
        <v/>
      </c>
      <c r="M648" s="1" t="str">
        <f t="shared" si="271"/>
        <v/>
      </c>
      <c r="N648" s="15"/>
      <c r="O648" s="5" t="str">
        <f t="shared" si="272"/>
        <v/>
      </c>
    </row>
    <row r="649" spans="11:15" ht="12.5">
      <c r="K649" s="1" t="str">
        <v/>
      </c>
      <c r="M649" s="1" t="str">
        <f t="shared" si="271"/>
        <v/>
      </c>
      <c r="N649" s="15"/>
      <c r="O649" s="5" t="str">
        <f t="shared" si="272"/>
        <v/>
      </c>
    </row>
    <row r="650" spans="11:15" ht="12.5">
      <c r="K650" s="1" t="str">
        <v/>
      </c>
      <c r="M650" s="1" t="str">
        <f t="shared" si="271"/>
        <v/>
      </c>
      <c r="N650" s="15"/>
      <c r="O650" s="5" t="str">
        <f t="shared" si="272"/>
        <v/>
      </c>
    </row>
    <row r="651" spans="11:15" ht="12.5">
      <c r="K651" s="1" t="str">
        <v/>
      </c>
      <c r="M651" s="1" t="str">
        <f t="shared" si="271"/>
        <v/>
      </c>
      <c r="N651" s="15"/>
      <c r="O651" s="5" t="str">
        <f t="shared" si="272"/>
        <v/>
      </c>
    </row>
    <row r="652" spans="11:15" ht="12.5">
      <c r="K652" s="1" t="str">
        <v/>
      </c>
      <c r="M652" s="1" t="str">
        <f t="shared" si="271"/>
        <v/>
      </c>
      <c r="N652" s="15"/>
      <c r="O652" s="5" t="str">
        <f t="shared" si="272"/>
        <v/>
      </c>
    </row>
    <row r="653" spans="11:15" ht="12.5">
      <c r="K653" s="1" t="str">
        <v/>
      </c>
      <c r="M653" s="1" t="str">
        <f t="shared" si="271"/>
        <v/>
      </c>
      <c r="N653" s="15"/>
      <c r="O653" s="5" t="str">
        <f t="shared" si="272"/>
        <v/>
      </c>
    </row>
    <row r="654" spans="11:15" ht="12.5">
      <c r="K654" s="1" t="str">
        <v/>
      </c>
      <c r="M654" s="1" t="str">
        <f t="shared" si="271"/>
        <v/>
      </c>
      <c r="N654" s="15"/>
      <c r="O654" s="5" t="str">
        <f t="shared" si="272"/>
        <v/>
      </c>
    </row>
    <row r="655" spans="11:15" ht="12.5">
      <c r="K655" s="1" t="str">
        <v/>
      </c>
      <c r="M655" s="1" t="str">
        <f t="shared" si="271"/>
        <v/>
      </c>
      <c r="N655" s="15"/>
      <c r="O655" s="5" t="str">
        <f t="shared" si="272"/>
        <v/>
      </c>
    </row>
    <row r="656" spans="11:15" ht="12.5">
      <c r="K656" s="1" t="str">
        <v/>
      </c>
      <c r="M656" s="1" t="str">
        <f t="shared" si="271"/>
        <v/>
      </c>
      <c r="N656" s="15"/>
      <c r="O656" s="5" t="str">
        <f t="shared" si="272"/>
        <v/>
      </c>
    </row>
    <row r="657" spans="11:15" ht="12.5">
      <c r="K657" s="1" t="str">
        <v/>
      </c>
      <c r="M657" s="1" t="str">
        <f t="shared" si="271"/>
        <v/>
      </c>
      <c r="N657" s="15"/>
      <c r="O657" s="5" t="str">
        <f t="shared" si="272"/>
        <v/>
      </c>
    </row>
    <row r="658" spans="11:15" ht="12.5">
      <c r="K658" s="1" t="str">
        <v/>
      </c>
      <c r="M658" s="1" t="str">
        <f t="shared" si="271"/>
        <v/>
      </c>
      <c r="N658" s="15"/>
      <c r="O658" s="5" t="str">
        <f t="shared" si="272"/>
        <v/>
      </c>
    </row>
    <row r="659" spans="11:15" ht="12.5">
      <c r="K659" s="1" t="str">
        <v/>
      </c>
      <c r="M659" s="1" t="str">
        <f t="shared" si="271"/>
        <v/>
      </c>
      <c r="N659" s="15"/>
      <c r="O659" s="5" t="str">
        <f t="shared" si="272"/>
        <v/>
      </c>
    </row>
    <row r="660" spans="11:15" ht="12.5">
      <c r="K660" s="1" t="str">
        <v/>
      </c>
      <c r="M660" s="1" t="str">
        <f t="shared" si="271"/>
        <v/>
      </c>
      <c r="N660" s="15"/>
      <c r="O660" s="5" t="str">
        <f t="shared" si="272"/>
        <v/>
      </c>
    </row>
    <row r="661" spans="11:15" ht="12.5">
      <c r="K661" s="1" t="str">
        <v/>
      </c>
      <c r="M661" s="1" t="str">
        <f t="shared" si="271"/>
        <v/>
      </c>
      <c r="N661" s="15"/>
      <c r="O661" s="5" t="str">
        <f t="shared" si="272"/>
        <v/>
      </c>
    </row>
    <row r="662" spans="11:15" ht="12.5">
      <c r="K662" s="1" t="str">
        <v/>
      </c>
      <c r="M662" s="1" t="str">
        <f t="shared" si="271"/>
        <v/>
      </c>
      <c r="N662" s="15"/>
      <c r="O662" s="5" t="str">
        <f t="shared" si="272"/>
        <v/>
      </c>
    </row>
    <row r="663" spans="11:15" ht="12.5">
      <c r="K663" s="1" t="str">
        <v/>
      </c>
      <c r="M663" s="1" t="str">
        <f t="shared" si="271"/>
        <v/>
      </c>
      <c r="N663" s="15"/>
      <c r="O663" s="5" t="str">
        <f t="shared" si="272"/>
        <v/>
      </c>
    </row>
    <row r="664" spans="11:15" ht="12.5">
      <c r="K664" s="1" t="str">
        <v/>
      </c>
      <c r="M664" s="1" t="str">
        <f t="shared" si="271"/>
        <v/>
      </c>
      <c r="N664" s="15"/>
      <c r="O664" s="5" t="str">
        <f t="shared" si="272"/>
        <v/>
      </c>
    </row>
    <row r="665" spans="11:15" ht="12.5">
      <c r="K665" s="1" t="str">
        <v/>
      </c>
      <c r="M665" s="1" t="str">
        <f t="shared" si="271"/>
        <v/>
      </c>
      <c r="N665" s="15"/>
      <c r="O665" s="5" t="str">
        <f t="shared" si="272"/>
        <v/>
      </c>
    </row>
    <row r="666" spans="11:15" ht="12.5">
      <c r="K666" s="1" t="str">
        <v/>
      </c>
      <c r="M666" s="1" t="str">
        <f t="shared" si="271"/>
        <v/>
      </c>
      <c r="N666" s="15"/>
      <c r="O666" s="5" t="str">
        <f t="shared" si="272"/>
        <v/>
      </c>
    </row>
    <row r="667" spans="11:15" ht="12.5">
      <c r="K667" s="1" t="str">
        <v/>
      </c>
      <c r="M667" s="1" t="str">
        <f t="shared" si="271"/>
        <v/>
      </c>
      <c r="N667" s="15"/>
      <c r="O667" s="5" t="str">
        <f t="shared" si="272"/>
        <v/>
      </c>
    </row>
    <row r="668" spans="11:15" ht="12.5">
      <c r="K668" s="1" t="str">
        <v/>
      </c>
      <c r="M668" s="1" t="str">
        <f t="shared" si="271"/>
        <v/>
      </c>
      <c r="N668" s="15"/>
      <c r="O668" s="5" t="str">
        <f t="shared" si="272"/>
        <v/>
      </c>
    </row>
    <row r="669" spans="11:15" ht="12.5">
      <c r="K669" s="1" t="str">
        <v/>
      </c>
      <c r="M669" s="1" t="str">
        <f t="shared" si="271"/>
        <v/>
      </c>
      <c r="N669" s="15"/>
      <c r="O669" s="5" t="str">
        <f t="shared" si="272"/>
        <v/>
      </c>
    </row>
    <row r="670" spans="11:15" ht="12.5">
      <c r="K670" s="1" t="str">
        <v/>
      </c>
      <c r="M670" s="1" t="str">
        <f t="shared" si="271"/>
        <v/>
      </c>
      <c r="N670" s="15"/>
      <c r="O670" s="5" t="str">
        <f t="shared" si="272"/>
        <v/>
      </c>
    </row>
    <row r="671" spans="11:15" ht="12.5">
      <c r="K671" s="1" t="str">
        <v/>
      </c>
      <c r="M671" s="1" t="str">
        <f t="shared" si="271"/>
        <v/>
      </c>
      <c r="N671" s="15"/>
      <c r="O671" s="5" t="str">
        <f t="shared" si="272"/>
        <v/>
      </c>
    </row>
    <row r="672" spans="11:15" ht="12.5">
      <c r="K672" s="1" t="str">
        <v/>
      </c>
      <c r="M672" s="1" t="str">
        <f t="shared" si="271"/>
        <v/>
      </c>
      <c r="N672" s="15"/>
      <c r="O672" s="5" t="str">
        <f t="shared" si="272"/>
        <v/>
      </c>
    </row>
    <row r="673" spans="11:15" ht="12.5">
      <c r="K673" s="1" t="str">
        <v/>
      </c>
      <c r="M673" s="1" t="str">
        <f t="shared" si="271"/>
        <v/>
      </c>
      <c r="N673" s="15"/>
      <c r="O673" s="5" t="str">
        <f t="shared" si="272"/>
        <v/>
      </c>
    </row>
    <row r="674" spans="11:15" ht="12.5">
      <c r="K674" s="1" t="str">
        <v/>
      </c>
      <c r="M674" s="1" t="str">
        <f t="shared" si="271"/>
        <v/>
      </c>
      <c r="N674" s="15"/>
      <c r="O674" s="5" t="str">
        <f t="shared" si="272"/>
        <v/>
      </c>
    </row>
    <row r="675" spans="11:15" ht="12.5">
      <c r="K675" s="1" t="str">
        <v/>
      </c>
      <c r="M675" s="1" t="str">
        <f t="shared" si="271"/>
        <v/>
      </c>
      <c r="N675" s="15"/>
      <c r="O675" s="5" t="str">
        <f t="shared" si="272"/>
        <v/>
      </c>
    </row>
    <row r="676" spans="11:15" ht="12.5">
      <c r="K676" s="1" t="str">
        <v/>
      </c>
      <c r="M676" s="1" t="str">
        <f t="shared" si="271"/>
        <v/>
      </c>
      <c r="N676" s="15"/>
      <c r="O676" s="5" t="str">
        <f t="shared" si="272"/>
        <v/>
      </c>
    </row>
    <row r="677" spans="11:15" ht="12.5">
      <c r="K677" s="1" t="str">
        <v/>
      </c>
      <c r="M677" s="1" t="str">
        <f t="shared" si="271"/>
        <v/>
      </c>
      <c r="N677" s="15"/>
      <c r="O677" s="5" t="str">
        <f t="shared" si="272"/>
        <v/>
      </c>
    </row>
    <row r="678" spans="11:15" ht="12.5">
      <c r="K678" s="1" t="str">
        <v/>
      </c>
      <c r="M678" s="1" t="str">
        <f t="shared" si="271"/>
        <v/>
      </c>
      <c r="N678" s="15"/>
      <c r="O678" s="5" t="str">
        <f t="shared" si="272"/>
        <v/>
      </c>
    </row>
    <row r="679" spans="11:15" ht="12.5">
      <c r="K679" s="1" t="str">
        <v/>
      </c>
      <c r="M679" s="1" t="str">
        <f t="shared" si="271"/>
        <v/>
      </c>
      <c r="N679" s="15"/>
      <c r="O679" s="5" t="str">
        <f t="shared" si="272"/>
        <v/>
      </c>
    </row>
    <row r="680" spans="11:15" ht="12.5">
      <c r="K680" s="1" t="str">
        <v/>
      </c>
      <c r="M680" s="1" t="str">
        <f t="shared" si="271"/>
        <v/>
      </c>
      <c r="N680" s="15"/>
      <c r="O680" s="5" t="str">
        <f t="shared" si="272"/>
        <v/>
      </c>
    </row>
    <row r="681" spans="11:15" ht="12.5">
      <c r="K681" s="1" t="str">
        <v/>
      </c>
      <c r="M681" s="1" t="str">
        <f t="shared" si="271"/>
        <v/>
      </c>
      <c r="N681" s="15"/>
      <c r="O681" s="5" t="str">
        <f t="shared" si="272"/>
        <v/>
      </c>
    </row>
    <row r="682" spans="11:15" ht="12.5">
      <c r="K682" s="1" t="str">
        <v/>
      </c>
      <c r="M682" s="1" t="str">
        <f t="shared" si="271"/>
        <v/>
      </c>
      <c r="N682" s="15"/>
      <c r="O682" s="5" t="str">
        <f t="shared" si="272"/>
        <v/>
      </c>
    </row>
    <row r="683" spans="11:15" ht="12.5">
      <c r="K683" s="1" t="str">
        <v/>
      </c>
      <c r="M683" s="1" t="str">
        <f t="shared" si="271"/>
        <v/>
      </c>
      <c r="N683" s="15"/>
      <c r="O683" s="5" t="str">
        <f t="shared" si="272"/>
        <v/>
      </c>
    </row>
    <row r="684" spans="11:15" ht="12.5">
      <c r="K684" s="1" t="str">
        <v/>
      </c>
      <c r="M684" s="1" t="str">
        <f t="shared" si="271"/>
        <v/>
      </c>
      <c r="N684" s="15"/>
      <c r="O684" s="5" t="str">
        <f t="shared" si="272"/>
        <v/>
      </c>
    </row>
    <row r="685" spans="11:15" ht="12.5">
      <c r="K685" s="1" t="str">
        <v/>
      </c>
      <c r="M685" s="1" t="str">
        <f t="shared" si="271"/>
        <v/>
      </c>
      <c r="N685" s="15"/>
      <c r="O685" s="5" t="str">
        <f t="shared" si="272"/>
        <v/>
      </c>
    </row>
    <row r="686" spans="11:15" ht="12.5">
      <c r="K686" s="1" t="str">
        <v/>
      </c>
      <c r="M686" s="1" t="str">
        <f t="shared" si="271"/>
        <v/>
      </c>
      <c r="N686" s="15"/>
      <c r="O686" s="5" t="str">
        <f t="shared" si="272"/>
        <v/>
      </c>
    </row>
    <row r="687" spans="11:15" ht="12.5">
      <c r="K687" s="1" t="str">
        <v/>
      </c>
      <c r="M687" s="1" t="str">
        <f t="shared" si="271"/>
        <v/>
      </c>
      <c r="N687" s="15"/>
      <c r="O687" s="5" t="str">
        <f t="shared" si="272"/>
        <v/>
      </c>
    </row>
    <row r="688" spans="11:15" ht="12.5">
      <c r="K688" s="1" t="str">
        <v/>
      </c>
      <c r="M688" s="1" t="str">
        <f t="shared" si="271"/>
        <v/>
      </c>
      <c r="N688" s="15"/>
      <c r="O688" s="5" t="str">
        <f t="shared" si="272"/>
        <v/>
      </c>
    </row>
    <row r="689" spans="11:15" ht="12.5">
      <c r="K689" s="1" t="str">
        <v/>
      </c>
      <c r="M689" s="1" t="str">
        <f t="shared" si="271"/>
        <v/>
      </c>
      <c r="N689" s="15"/>
      <c r="O689" s="5" t="str">
        <f t="shared" si="272"/>
        <v/>
      </c>
    </row>
    <row r="690" spans="11:15" ht="12.5">
      <c r="K690" s="1" t="str">
        <v/>
      </c>
      <c r="M690" s="1" t="str">
        <f t="shared" si="271"/>
        <v/>
      </c>
      <c r="N690" s="15"/>
      <c r="O690" s="5" t="str">
        <f t="shared" si="272"/>
        <v/>
      </c>
    </row>
    <row r="691" spans="11:15" ht="12.5">
      <c r="K691" s="1" t="str">
        <v/>
      </c>
      <c r="M691" s="1" t="str">
        <f t="shared" si="271"/>
        <v/>
      </c>
      <c r="N691" s="15"/>
      <c r="O691" s="5" t="str">
        <f t="shared" si="272"/>
        <v/>
      </c>
    </row>
    <row r="692" spans="11:15" ht="12.5">
      <c r="K692" s="1" t="str">
        <v/>
      </c>
      <c r="M692" s="1" t="str">
        <f t="shared" si="271"/>
        <v/>
      </c>
      <c r="N692" s="15"/>
      <c r="O692" s="5" t="str">
        <f t="shared" si="272"/>
        <v/>
      </c>
    </row>
    <row r="693" spans="11:15" ht="12.5">
      <c r="K693" s="1" t="str">
        <v/>
      </c>
      <c r="M693" s="1" t="str">
        <f t="shared" si="271"/>
        <v/>
      </c>
      <c r="N693" s="15"/>
      <c r="O693" s="5" t="str">
        <f t="shared" si="272"/>
        <v/>
      </c>
    </row>
    <row r="694" spans="11:15" ht="12.5">
      <c r="K694" s="1" t="str">
        <v/>
      </c>
      <c r="M694" s="1" t="str">
        <f t="shared" si="271"/>
        <v/>
      </c>
      <c r="N694" s="15"/>
      <c r="O694" s="5" t="str">
        <f t="shared" si="272"/>
        <v/>
      </c>
    </row>
    <row r="695" spans="11:15" ht="12.5">
      <c r="K695" s="1" t="str">
        <v/>
      </c>
      <c r="M695" s="1" t="str">
        <f t="shared" si="271"/>
        <v/>
      </c>
      <c r="N695" s="15"/>
      <c r="O695" s="5" t="str">
        <f t="shared" si="272"/>
        <v/>
      </c>
    </row>
    <row r="696" spans="11:15" ht="12.5">
      <c r="K696" s="1" t="str">
        <v/>
      </c>
      <c r="M696" s="1" t="str">
        <f t="shared" si="271"/>
        <v/>
      </c>
      <c r="N696" s="15"/>
      <c r="O696" s="5" t="str">
        <f t="shared" si="272"/>
        <v/>
      </c>
    </row>
    <row r="697" spans="11:15" ht="12.5">
      <c r="K697" s="1" t="str">
        <v/>
      </c>
      <c r="M697" s="1" t="str">
        <f t="shared" si="271"/>
        <v/>
      </c>
      <c r="N697" s="15"/>
      <c r="O697" s="5" t="str">
        <f t="shared" si="272"/>
        <v/>
      </c>
    </row>
    <row r="698" spans="11:15" ht="12.5">
      <c r="K698" s="1" t="str">
        <v/>
      </c>
      <c r="M698" s="1" t="str">
        <f t="shared" si="271"/>
        <v/>
      </c>
      <c r="N698" s="15"/>
      <c r="O698" s="5" t="str">
        <f t="shared" si="272"/>
        <v/>
      </c>
    </row>
    <row r="699" spans="11:15" ht="12.5">
      <c r="K699" s="1" t="str">
        <v/>
      </c>
      <c r="M699" s="1" t="str">
        <f t="shared" si="271"/>
        <v/>
      </c>
      <c r="N699" s="15"/>
      <c r="O699" s="5" t="str">
        <f t="shared" si="272"/>
        <v/>
      </c>
    </row>
    <row r="700" spans="11:15" ht="12.5">
      <c r="K700" s="1" t="str">
        <v/>
      </c>
      <c r="M700" s="1" t="str">
        <f t="shared" si="271"/>
        <v/>
      </c>
      <c r="N700" s="15"/>
      <c r="O700" s="5" t="str">
        <f t="shared" si="272"/>
        <v/>
      </c>
    </row>
    <row r="701" spans="11:15" ht="12.5">
      <c r="K701" s="1" t="str">
        <v/>
      </c>
      <c r="M701" s="1" t="str">
        <f t="shared" si="271"/>
        <v/>
      </c>
      <c r="N701" s="15"/>
      <c r="O701" s="5" t="str">
        <f t="shared" si="272"/>
        <v/>
      </c>
    </row>
    <row r="702" spans="11:15" ht="12.5">
      <c r="K702" s="1" t="str">
        <v/>
      </c>
      <c r="M702" s="1" t="str">
        <f t="shared" si="271"/>
        <v/>
      </c>
      <c r="N702" s="15"/>
      <c r="O702" s="5" t="str">
        <f t="shared" si="272"/>
        <v/>
      </c>
    </row>
    <row r="703" spans="11:15" ht="12.5">
      <c r="K703" s="1" t="str">
        <v/>
      </c>
      <c r="M703" s="1" t="str">
        <f t="shared" si="271"/>
        <v/>
      </c>
      <c r="N703" s="15"/>
      <c r="O703" s="5" t="str">
        <f t="shared" si="272"/>
        <v/>
      </c>
    </row>
    <row r="704" spans="11:15" ht="12.5">
      <c r="K704" s="1" t="str">
        <v/>
      </c>
      <c r="M704" s="1" t="str">
        <f t="shared" si="271"/>
        <v/>
      </c>
      <c r="N704" s="15"/>
      <c r="O704" s="5" t="str">
        <f t="shared" si="272"/>
        <v/>
      </c>
    </row>
    <row r="705" spans="11:15" ht="12.5">
      <c r="K705" s="1" t="str">
        <v/>
      </c>
      <c r="M705" s="1" t="str">
        <f t="shared" si="271"/>
        <v/>
      </c>
      <c r="N705" s="15"/>
      <c r="O705" s="5" t="str">
        <f t="shared" si="272"/>
        <v/>
      </c>
    </row>
    <row r="706" spans="11:15" ht="12.5">
      <c r="K706" s="1" t="str">
        <v/>
      </c>
      <c r="M706" s="1" t="str">
        <f t="shared" si="271"/>
        <v/>
      </c>
      <c r="N706" s="15"/>
      <c r="O706" s="5" t="str">
        <f t="shared" si="272"/>
        <v/>
      </c>
    </row>
    <row r="707" spans="11:15" ht="12.5">
      <c r="K707" s="1" t="str">
        <v/>
      </c>
      <c r="M707" s="1" t="str">
        <f t="shared" ref="M707:M770" si="273">IF(G707="","",IF(LOWER(TRIM(G707))="north america","North America",IF(LOWER(TRIM(G707))="emea","EMEA",IF(LOWER(TRIM(G707))="apac","APAC",IF(LOWER(TRIM(G707))="latam","LATAM",TRIM(G707))))))</f>
        <v/>
      </c>
      <c r="N707" s="15"/>
      <c r="O707" s="5" t="str">
        <f t="shared" ref="O707:O770" si="274">IF(OR(H707="",N707=""),"",H707*N707)</f>
        <v/>
      </c>
    </row>
    <row r="708" spans="11:15" ht="12.5">
      <c r="K708" s="1" t="str">
        <v/>
      </c>
      <c r="M708" s="1" t="str">
        <f t="shared" si="273"/>
        <v/>
      </c>
      <c r="N708" s="15"/>
      <c r="O708" s="5" t="str">
        <f t="shared" si="274"/>
        <v/>
      </c>
    </row>
    <row r="709" spans="11:15" ht="12.5">
      <c r="K709" s="1" t="str">
        <v/>
      </c>
      <c r="M709" s="1" t="str">
        <f t="shared" si="273"/>
        <v/>
      </c>
      <c r="N709" s="15"/>
      <c r="O709" s="5" t="str">
        <f t="shared" si="274"/>
        <v/>
      </c>
    </row>
    <row r="710" spans="11:15" ht="12.5">
      <c r="K710" s="1" t="str">
        <v/>
      </c>
      <c r="M710" s="1" t="str">
        <f t="shared" si="273"/>
        <v/>
      </c>
      <c r="N710" s="15"/>
      <c r="O710" s="5" t="str">
        <f t="shared" si="274"/>
        <v/>
      </c>
    </row>
    <row r="711" spans="11:15" ht="12.5">
      <c r="K711" s="1" t="str">
        <v/>
      </c>
      <c r="M711" s="1" t="str">
        <f t="shared" si="273"/>
        <v/>
      </c>
      <c r="N711" s="15"/>
      <c r="O711" s="5" t="str">
        <f t="shared" si="274"/>
        <v/>
      </c>
    </row>
    <row r="712" spans="11:15" ht="12.5">
      <c r="K712" s="1" t="str">
        <v/>
      </c>
      <c r="M712" s="1" t="str">
        <f t="shared" si="273"/>
        <v/>
      </c>
      <c r="N712" s="15"/>
      <c r="O712" s="5" t="str">
        <f t="shared" si="274"/>
        <v/>
      </c>
    </row>
    <row r="713" spans="11:15" ht="12.5">
      <c r="K713" s="1" t="str">
        <v/>
      </c>
      <c r="M713" s="1" t="str">
        <f t="shared" si="273"/>
        <v/>
      </c>
      <c r="N713" s="15"/>
      <c r="O713" s="5" t="str">
        <f t="shared" si="274"/>
        <v/>
      </c>
    </row>
    <row r="714" spans="11:15" ht="12.5">
      <c r="K714" s="1" t="str">
        <v/>
      </c>
      <c r="M714" s="1" t="str">
        <f t="shared" si="273"/>
        <v/>
      </c>
      <c r="N714" s="15"/>
      <c r="O714" s="5" t="str">
        <f t="shared" si="274"/>
        <v/>
      </c>
    </row>
    <row r="715" spans="11:15" ht="12.5">
      <c r="K715" s="1" t="str">
        <v/>
      </c>
      <c r="M715" s="1" t="str">
        <f t="shared" si="273"/>
        <v/>
      </c>
      <c r="N715" s="15"/>
      <c r="O715" s="5" t="str">
        <f t="shared" si="274"/>
        <v/>
      </c>
    </row>
    <row r="716" spans="11:15" ht="12.5">
      <c r="K716" s="1" t="str">
        <v/>
      </c>
      <c r="M716" s="1" t="str">
        <f t="shared" si="273"/>
        <v/>
      </c>
      <c r="N716" s="15"/>
      <c r="O716" s="5" t="str">
        <f t="shared" si="274"/>
        <v/>
      </c>
    </row>
    <row r="717" spans="11:15" ht="12.5">
      <c r="K717" s="1" t="str">
        <v/>
      </c>
      <c r="M717" s="1" t="str">
        <f t="shared" si="273"/>
        <v/>
      </c>
      <c r="N717" s="15"/>
      <c r="O717" s="5" t="str">
        <f t="shared" si="274"/>
        <v/>
      </c>
    </row>
    <row r="718" spans="11:15" ht="12.5">
      <c r="K718" s="1" t="str">
        <v/>
      </c>
      <c r="M718" s="1" t="str">
        <f t="shared" si="273"/>
        <v/>
      </c>
      <c r="N718" s="15"/>
      <c r="O718" s="5" t="str">
        <f t="shared" si="274"/>
        <v/>
      </c>
    </row>
    <row r="719" spans="11:15" ht="12.5">
      <c r="K719" s="1" t="str">
        <v/>
      </c>
      <c r="M719" s="1" t="str">
        <f t="shared" si="273"/>
        <v/>
      </c>
      <c r="N719" s="15"/>
      <c r="O719" s="5" t="str">
        <f t="shared" si="274"/>
        <v/>
      </c>
    </row>
    <row r="720" spans="11:15" ht="12.5">
      <c r="K720" s="1" t="str">
        <v/>
      </c>
      <c r="M720" s="1" t="str">
        <f t="shared" si="273"/>
        <v/>
      </c>
      <c r="N720" s="15"/>
      <c r="O720" s="5" t="str">
        <f t="shared" si="274"/>
        <v/>
      </c>
    </row>
    <row r="721" spans="11:15" ht="12.5">
      <c r="K721" s="1" t="str">
        <v/>
      </c>
      <c r="M721" s="1" t="str">
        <f t="shared" si="273"/>
        <v/>
      </c>
      <c r="N721" s="15"/>
      <c r="O721" s="5" t="str">
        <f t="shared" si="274"/>
        <v/>
      </c>
    </row>
    <row r="722" spans="11:15" ht="12.5">
      <c r="K722" s="1" t="str">
        <v/>
      </c>
      <c r="M722" s="1" t="str">
        <f t="shared" si="273"/>
        <v/>
      </c>
      <c r="N722" s="15"/>
      <c r="O722" s="5" t="str">
        <f t="shared" si="274"/>
        <v/>
      </c>
    </row>
    <row r="723" spans="11:15" ht="12.5">
      <c r="K723" s="1" t="str">
        <v/>
      </c>
      <c r="M723" s="1" t="str">
        <f t="shared" si="273"/>
        <v/>
      </c>
      <c r="N723" s="15"/>
      <c r="O723" s="5" t="str">
        <f t="shared" si="274"/>
        <v/>
      </c>
    </row>
    <row r="724" spans="11:15" ht="12.5">
      <c r="K724" s="1" t="str">
        <v/>
      </c>
      <c r="M724" s="1" t="str">
        <f t="shared" si="273"/>
        <v/>
      </c>
      <c r="N724" s="15"/>
      <c r="O724" s="5" t="str">
        <f t="shared" si="274"/>
        <v/>
      </c>
    </row>
    <row r="725" spans="11:15" ht="12.5">
      <c r="K725" s="1" t="str">
        <v/>
      </c>
      <c r="M725" s="1" t="str">
        <f t="shared" si="273"/>
        <v/>
      </c>
      <c r="N725" s="15"/>
      <c r="O725" s="5" t="str">
        <f t="shared" si="274"/>
        <v/>
      </c>
    </row>
    <row r="726" spans="11:15" ht="12.5">
      <c r="K726" s="1" t="str">
        <v/>
      </c>
      <c r="M726" s="1" t="str">
        <f t="shared" si="273"/>
        <v/>
      </c>
      <c r="N726" s="15"/>
      <c r="O726" s="5" t="str">
        <f t="shared" si="274"/>
        <v/>
      </c>
    </row>
    <row r="727" spans="11:15" ht="12.5">
      <c r="K727" s="1" t="str">
        <v/>
      </c>
      <c r="M727" s="1" t="str">
        <f t="shared" si="273"/>
        <v/>
      </c>
      <c r="N727" s="15"/>
      <c r="O727" s="5" t="str">
        <f t="shared" si="274"/>
        <v/>
      </c>
    </row>
    <row r="728" spans="11:15" ht="12.5">
      <c r="K728" s="1" t="str">
        <v/>
      </c>
      <c r="M728" s="1" t="str">
        <f t="shared" si="273"/>
        <v/>
      </c>
      <c r="N728" s="15"/>
      <c r="O728" s="5" t="str">
        <f t="shared" si="274"/>
        <v/>
      </c>
    </row>
    <row r="729" spans="11:15" ht="12.5">
      <c r="K729" s="1" t="str">
        <v/>
      </c>
      <c r="M729" s="1" t="str">
        <f t="shared" si="273"/>
        <v/>
      </c>
      <c r="N729" s="15"/>
      <c r="O729" s="5" t="str">
        <f t="shared" si="274"/>
        <v/>
      </c>
    </row>
    <row r="730" spans="11:15" ht="12.5">
      <c r="K730" s="1" t="str">
        <v/>
      </c>
      <c r="M730" s="1" t="str">
        <f t="shared" si="273"/>
        <v/>
      </c>
      <c r="N730" s="15"/>
      <c r="O730" s="5" t="str">
        <f t="shared" si="274"/>
        <v/>
      </c>
    </row>
    <row r="731" spans="11:15" ht="12.5">
      <c r="K731" s="1" t="str">
        <v/>
      </c>
      <c r="M731" s="1" t="str">
        <f t="shared" si="273"/>
        <v/>
      </c>
      <c r="N731" s="15"/>
      <c r="O731" s="5" t="str">
        <f t="shared" si="274"/>
        <v/>
      </c>
    </row>
    <row r="732" spans="11:15" ht="12.5">
      <c r="K732" s="1" t="str">
        <v/>
      </c>
      <c r="M732" s="1" t="str">
        <f t="shared" si="273"/>
        <v/>
      </c>
      <c r="N732" s="15"/>
      <c r="O732" s="5" t="str">
        <f t="shared" si="274"/>
        <v/>
      </c>
    </row>
    <row r="733" spans="11:15" ht="12.5">
      <c r="K733" s="1" t="str">
        <v/>
      </c>
      <c r="M733" s="1" t="str">
        <f t="shared" si="273"/>
        <v/>
      </c>
      <c r="N733" s="15"/>
      <c r="O733" s="5" t="str">
        <f t="shared" si="274"/>
        <v/>
      </c>
    </row>
    <row r="734" spans="11:15" ht="12.5">
      <c r="K734" s="1" t="str">
        <v/>
      </c>
      <c r="M734" s="1" t="str">
        <f t="shared" si="273"/>
        <v/>
      </c>
      <c r="N734" s="15"/>
      <c r="O734" s="5" t="str">
        <f t="shared" si="274"/>
        <v/>
      </c>
    </row>
    <row r="735" spans="11:15" ht="12.5">
      <c r="K735" s="1" t="str">
        <v/>
      </c>
      <c r="M735" s="1" t="str">
        <f t="shared" si="273"/>
        <v/>
      </c>
      <c r="N735" s="15"/>
      <c r="O735" s="5" t="str">
        <f t="shared" si="274"/>
        <v/>
      </c>
    </row>
    <row r="736" spans="11:15" ht="12.5">
      <c r="K736" s="1" t="str">
        <v/>
      </c>
      <c r="M736" s="1" t="str">
        <f t="shared" si="273"/>
        <v/>
      </c>
      <c r="N736" s="15"/>
      <c r="O736" s="5" t="str">
        <f t="shared" si="274"/>
        <v/>
      </c>
    </row>
    <row r="737" spans="11:15" ht="12.5">
      <c r="K737" s="1" t="str">
        <v/>
      </c>
      <c r="M737" s="1" t="str">
        <f t="shared" si="273"/>
        <v/>
      </c>
      <c r="N737" s="15"/>
      <c r="O737" s="5" t="str">
        <f t="shared" si="274"/>
        <v/>
      </c>
    </row>
    <row r="738" spans="11:15" ht="12.5">
      <c r="K738" s="1" t="str">
        <v/>
      </c>
      <c r="M738" s="1" t="str">
        <f t="shared" si="273"/>
        <v/>
      </c>
      <c r="N738" s="15"/>
      <c r="O738" s="5" t="str">
        <f t="shared" si="274"/>
        <v/>
      </c>
    </row>
    <row r="739" spans="11:15" ht="12.5">
      <c r="K739" s="1" t="str">
        <v/>
      </c>
      <c r="M739" s="1" t="str">
        <f t="shared" si="273"/>
        <v/>
      </c>
      <c r="N739" s="15"/>
      <c r="O739" s="5" t="str">
        <f t="shared" si="274"/>
        <v/>
      </c>
    </row>
    <row r="740" spans="11:15" ht="12.5">
      <c r="K740" s="1" t="str">
        <v/>
      </c>
      <c r="M740" s="1" t="str">
        <f t="shared" si="273"/>
        <v/>
      </c>
      <c r="N740" s="15"/>
      <c r="O740" s="5" t="str">
        <f t="shared" si="274"/>
        <v/>
      </c>
    </row>
    <row r="741" spans="11:15" ht="12.5">
      <c r="K741" s="1" t="str">
        <v/>
      </c>
      <c r="M741" s="1" t="str">
        <f t="shared" si="273"/>
        <v/>
      </c>
      <c r="N741" s="15"/>
      <c r="O741" s="5" t="str">
        <f t="shared" si="274"/>
        <v/>
      </c>
    </row>
    <row r="742" spans="11:15" ht="12.5">
      <c r="K742" s="1" t="str">
        <v/>
      </c>
      <c r="M742" s="1" t="str">
        <f t="shared" si="273"/>
        <v/>
      </c>
      <c r="N742" s="15"/>
      <c r="O742" s="5" t="str">
        <f t="shared" si="274"/>
        <v/>
      </c>
    </row>
    <row r="743" spans="11:15" ht="12.5">
      <c r="K743" s="1" t="str">
        <v/>
      </c>
      <c r="M743" s="1" t="str">
        <f t="shared" si="273"/>
        <v/>
      </c>
      <c r="N743" s="15"/>
      <c r="O743" s="5" t="str">
        <f t="shared" si="274"/>
        <v/>
      </c>
    </row>
    <row r="744" spans="11:15" ht="12.5">
      <c r="K744" s="1" t="str">
        <v/>
      </c>
      <c r="M744" s="1" t="str">
        <f t="shared" si="273"/>
        <v/>
      </c>
      <c r="N744" s="15"/>
      <c r="O744" s="5" t="str">
        <f t="shared" si="274"/>
        <v/>
      </c>
    </row>
    <row r="745" spans="11:15" ht="12.5">
      <c r="K745" s="1" t="str">
        <v/>
      </c>
      <c r="M745" s="1" t="str">
        <f t="shared" si="273"/>
        <v/>
      </c>
      <c r="N745" s="15"/>
      <c r="O745" s="5" t="str">
        <f t="shared" si="274"/>
        <v/>
      </c>
    </row>
    <row r="746" spans="11:15" ht="12.5">
      <c r="K746" s="1" t="str">
        <v/>
      </c>
      <c r="M746" s="1" t="str">
        <f t="shared" si="273"/>
        <v/>
      </c>
      <c r="N746" s="15"/>
      <c r="O746" s="5" t="str">
        <f t="shared" si="274"/>
        <v/>
      </c>
    </row>
    <row r="747" spans="11:15" ht="12.5">
      <c r="K747" s="1" t="str">
        <v/>
      </c>
      <c r="M747" s="1" t="str">
        <f t="shared" si="273"/>
        <v/>
      </c>
      <c r="N747" s="15"/>
      <c r="O747" s="5" t="str">
        <f t="shared" si="274"/>
        <v/>
      </c>
    </row>
    <row r="748" spans="11:15" ht="12.5">
      <c r="K748" s="1" t="str">
        <v/>
      </c>
      <c r="M748" s="1" t="str">
        <f t="shared" si="273"/>
        <v/>
      </c>
      <c r="N748" s="15"/>
      <c r="O748" s="5" t="str">
        <f t="shared" si="274"/>
        <v/>
      </c>
    </row>
    <row r="749" spans="11:15" ht="12.5">
      <c r="K749" s="1" t="str">
        <v/>
      </c>
      <c r="M749" s="1" t="str">
        <f t="shared" si="273"/>
        <v/>
      </c>
      <c r="N749" s="15"/>
      <c r="O749" s="5" t="str">
        <f t="shared" si="274"/>
        <v/>
      </c>
    </row>
    <row r="750" spans="11:15" ht="12.5">
      <c r="K750" s="1" t="str">
        <v/>
      </c>
      <c r="M750" s="1" t="str">
        <f t="shared" si="273"/>
        <v/>
      </c>
      <c r="N750" s="15"/>
      <c r="O750" s="5" t="str">
        <f t="shared" si="274"/>
        <v/>
      </c>
    </row>
    <row r="751" spans="11:15" ht="12.5">
      <c r="K751" s="1" t="str">
        <v/>
      </c>
      <c r="M751" s="1" t="str">
        <f t="shared" si="273"/>
        <v/>
      </c>
      <c r="N751" s="15"/>
      <c r="O751" s="5" t="str">
        <f t="shared" si="274"/>
        <v/>
      </c>
    </row>
    <row r="752" spans="11:15" ht="12.5">
      <c r="K752" s="1" t="str">
        <v/>
      </c>
      <c r="M752" s="1" t="str">
        <f t="shared" si="273"/>
        <v/>
      </c>
      <c r="N752" s="15"/>
      <c r="O752" s="5" t="str">
        <f t="shared" si="274"/>
        <v/>
      </c>
    </row>
    <row r="753" spans="11:15" ht="12.5">
      <c r="K753" s="1" t="str">
        <v/>
      </c>
      <c r="M753" s="1" t="str">
        <f t="shared" si="273"/>
        <v/>
      </c>
      <c r="N753" s="15"/>
      <c r="O753" s="5" t="str">
        <f t="shared" si="274"/>
        <v/>
      </c>
    </row>
    <row r="754" spans="11:15" ht="12.5">
      <c r="K754" s="1" t="str">
        <v/>
      </c>
      <c r="M754" s="1" t="str">
        <f t="shared" si="273"/>
        <v/>
      </c>
      <c r="N754" s="15"/>
      <c r="O754" s="5" t="str">
        <f t="shared" si="274"/>
        <v/>
      </c>
    </row>
    <row r="755" spans="11:15" ht="12.5">
      <c r="K755" s="1" t="str">
        <v/>
      </c>
      <c r="M755" s="1" t="str">
        <f t="shared" si="273"/>
        <v/>
      </c>
      <c r="N755" s="15"/>
      <c r="O755" s="5" t="str">
        <f t="shared" si="274"/>
        <v/>
      </c>
    </row>
    <row r="756" spans="11:15" ht="12.5">
      <c r="K756" s="1" t="str">
        <v/>
      </c>
      <c r="M756" s="1" t="str">
        <f t="shared" si="273"/>
        <v/>
      </c>
      <c r="N756" s="15"/>
      <c r="O756" s="5" t="str">
        <f t="shared" si="274"/>
        <v/>
      </c>
    </row>
    <row r="757" spans="11:15" ht="12.5">
      <c r="K757" s="1" t="str">
        <v/>
      </c>
      <c r="M757" s="1" t="str">
        <f t="shared" si="273"/>
        <v/>
      </c>
      <c r="N757" s="15"/>
      <c r="O757" s="5" t="str">
        <f t="shared" si="274"/>
        <v/>
      </c>
    </row>
    <row r="758" spans="11:15" ht="12.5">
      <c r="K758" s="1" t="str">
        <v/>
      </c>
      <c r="M758" s="1" t="str">
        <f t="shared" si="273"/>
        <v/>
      </c>
      <c r="N758" s="15"/>
      <c r="O758" s="5" t="str">
        <f t="shared" si="274"/>
        <v/>
      </c>
    </row>
    <row r="759" spans="11:15" ht="12.5">
      <c r="K759" s="1" t="str">
        <v/>
      </c>
      <c r="M759" s="1" t="str">
        <f t="shared" si="273"/>
        <v/>
      </c>
      <c r="N759" s="15"/>
      <c r="O759" s="5" t="str">
        <f t="shared" si="274"/>
        <v/>
      </c>
    </row>
    <row r="760" spans="11:15" ht="12.5">
      <c r="K760" s="1" t="str">
        <v/>
      </c>
      <c r="M760" s="1" t="str">
        <f t="shared" si="273"/>
        <v/>
      </c>
      <c r="N760" s="15"/>
      <c r="O760" s="5" t="str">
        <f t="shared" si="274"/>
        <v/>
      </c>
    </row>
    <row r="761" spans="11:15" ht="12.5">
      <c r="K761" s="1" t="str">
        <v/>
      </c>
      <c r="M761" s="1" t="str">
        <f t="shared" si="273"/>
        <v/>
      </c>
      <c r="N761" s="15"/>
      <c r="O761" s="5" t="str">
        <f t="shared" si="274"/>
        <v/>
      </c>
    </row>
    <row r="762" spans="11:15" ht="12.5">
      <c r="K762" s="1" t="str">
        <v/>
      </c>
      <c r="M762" s="1" t="str">
        <f t="shared" si="273"/>
        <v/>
      </c>
      <c r="N762" s="15"/>
      <c r="O762" s="5" t="str">
        <f t="shared" si="274"/>
        <v/>
      </c>
    </row>
    <row r="763" spans="11:15" ht="12.5">
      <c r="K763" s="1" t="str">
        <v/>
      </c>
      <c r="M763" s="1" t="str">
        <f t="shared" si="273"/>
        <v/>
      </c>
      <c r="N763" s="15"/>
      <c r="O763" s="5" t="str">
        <f t="shared" si="274"/>
        <v/>
      </c>
    </row>
    <row r="764" spans="11:15" ht="12.5">
      <c r="K764" s="1" t="str">
        <v/>
      </c>
      <c r="M764" s="1" t="str">
        <f t="shared" si="273"/>
        <v/>
      </c>
      <c r="N764" s="15"/>
      <c r="O764" s="5" t="str">
        <f t="shared" si="274"/>
        <v/>
      </c>
    </row>
    <row r="765" spans="11:15" ht="12.5">
      <c r="K765" s="1" t="str">
        <v/>
      </c>
      <c r="M765" s="1" t="str">
        <f t="shared" si="273"/>
        <v/>
      </c>
      <c r="N765" s="15"/>
      <c r="O765" s="5" t="str">
        <f t="shared" si="274"/>
        <v/>
      </c>
    </row>
    <row r="766" spans="11:15" ht="12.5">
      <c r="K766" s="1" t="str">
        <v/>
      </c>
      <c r="M766" s="1" t="str">
        <f t="shared" si="273"/>
        <v/>
      </c>
      <c r="N766" s="15"/>
      <c r="O766" s="5" t="str">
        <f t="shared" si="274"/>
        <v/>
      </c>
    </row>
    <row r="767" spans="11:15" ht="12.5">
      <c r="K767" s="1" t="str">
        <v/>
      </c>
      <c r="M767" s="1" t="str">
        <f t="shared" si="273"/>
        <v/>
      </c>
      <c r="N767" s="15"/>
      <c r="O767" s="5" t="str">
        <f t="shared" si="274"/>
        <v/>
      </c>
    </row>
    <row r="768" spans="11:15" ht="12.5">
      <c r="K768" s="1" t="str">
        <v/>
      </c>
      <c r="M768" s="1" t="str">
        <f t="shared" si="273"/>
        <v/>
      </c>
      <c r="N768" s="15"/>
      <c r="O768" s="5" t="str">
        <f t="shared" si="274"/>
        <v/>
      </c>
    </row>
    <row r="769" spans="11:15" ht="12.5">
      <c r="K769" s="1" t="str">
        <v/>
      </c>
      <c r="M769" s="1" t="str">
        <f t="shared" si="273"/>
        <v/>
      </c>
      <c r="N769" s="15"/>
      <c r="O769" s="5" t="str">
        <f t="shared" si="274"/>
        <v/>
      </c>
    </row>
    <row r="770" spans="11:15" ht="12.5">
      <c r="K770" s="1" t="str">
        <v/>
      </c>
      <c r="M770" s="1" t="str">
        <f t="shared" si="273"/>
        <v/>
      </c>
      <c r="N770" s="15"/>
      <c r="O770" s="5" t="str">
        <f t="shared" si="274"/>
        <v/>
      </c>
    </row>
    <row r="771" spans="11:15" ht="12.5">
      <c r="K771" s="1" t="str">
        <v/>
      </c>
      <c r="M771" s="1" t="str">
        <f t="shared" ref="M771:M834" si="275">IF(G771="","",IF(LOWER(TRIM(G771))="north america","North America",IF(LOWER(TRIM(G771))="emea","EMEA",IF(LOWER(TRIM(G771))="apac","APAC",IF(LOWER(TRIM(G771))="latam","LATAM",TRIM(G771))))))</f>
        <v/>
      </c>
      <c r="N771" s="15"/>
      <c r="O771" s="5" t="str">
        <f t="shared" ref="O771:O834" si="276">IF(OR(H771="",N771=""),"",H771*N771)</f>
        <v/>
      </c>
    </row>
    <row r="772" spans="11:15" ht="12.5">
      <c r="K772" s="1" t="str">
        <v/>
      </c>
      <c r="M772" s="1" t="str">
        <f t="shared" si="275"/>
        <v/>
      </c>
      <c r="N772" s="15"/>
      <c r="O772" s="5" t="str">
        <f t="shared" si="276"/>
        <v/>
      </c>
    </row>
    <row r="773" spans="11:15" ht="12.5">
      <c r="K773" s="1" t="str">
        <v/>
      </c>
      <c r="M773" s="1" t="str">
        <f t="shared" si="275"/>
        <v/>
      </c>
      <c r="N773" s="15"/>
      <c r="O773" s="5" t="str">
        <f t="shared" si="276"/>
        <v/>
      </c>
    </row>
    <row r="774" spans="11:15" ht="12.5">
      <c r="K774" s="1" t="str">
        <v/>
      </c>
      <c r="M774" s="1" t="str">
        <f t="shared" si="275"/>
        <v/>
      </c>
      <c r="N774" s="15"/>
      <c r="O774" s="5" t="str">
        <f t="shared" si="276"/>
        <v/>
      </c>
    </row>
    <row r="775" spans="11:15" ht="12.5">
      <c r="K775" s="1" t="str">
        <v/>
      </c>
      <c r="M775" s="1" t="str">
        <f t="shared" si="275"/>
        <v/>
      </c>
      <c r="N775" s="15"/>
      <c r="O775" s="5" t="str">
        <f t="shared" si="276"/>
        <v/>
      </c>
    </row>
    <row r="776" spans="11:15" ht="12.5">
      <c r="K776" s="1" t="str">
        <v/>
      </c>
      <c r="M776" s="1" t="str">
        <f t="shared" si="275"/>
        <v/>
      </c>
      <c r="N776" s="15"/>
      <c r="O776" s="5" t="str">
        <f t="shared" si="276"/>
        <v/>
      </c>
    </row>
    <row r="777" spans="11:15" ht="12.5">
      <c r="K777" s="1" t="str">
        <v/>
      </c>
      <c r="M777" s="1" t="str">
        <f t="shared" si="275"/>
        <v/>
      </c>
      <c r="N777" s="15"/>
      <c r="O777" s="5" t="str">
        <f t="shared" si="276"/>
        <v/>
      </c>
    </row>
    <row r="778" spans="11:15" ht="12.5">
      <c r="K778" s="1" t="str">
        <v/>
      </c>
      <c r="M778" s="1" t="str">
        <f t="shared" si="275"/>
        <v/>
      </c>
      <c r="N778" s="15"/>
      <c r="O778" s="5" t="str">
        <f t="shared" si="276"/>
        <v/>
      </c>
    </row>
    <row r="779" spans="11:15" ht="12.5">
      <c r="K779" s="1" t="str">
        <v/>
      </c>
      <c r="M779" s="1" t="str">
        <f t="shared" si="275"/>
        <v/>
      </c>
      <c r="N779" s="15"/>
      <c r="O779" s="5" t="str">
        <f t="shared" si="276"/>
        <v/>
      </c>
    </row>
    <row r="780" spans="11:15" ht="12.5">
      <c r="K780" s="1" t="str">
        <v/>
      </c>
      <c r="M780" s="1" t="str">
        <f t="shared" si="275"/>
        <v/>
      </c>
      <c r="N780" s="15"/>
      <c r="O780" s="5" t="str">
        <f t="shared" si="276"/>
        <v/>
      </c>
    </row>
    <row r="781" spans="11:15" ht="12.5">
      <c r="K781" s="1" t="str">
        <v/>
      </c>
      <c r="M781" s="1" t="str">
        <f t="shared" si="275"/>
        <v/>
      </c>
      <c r="N781" s="15"/>
      <c r="O781" s="5" t="str">
        <f t="shared" si="276"/>
        <v/>
      </c>
    </row>
    <row r="782" spans="11:15" ht="12.5">
      <c r="K782" s="1" t="str">
        <v/>
      </c>
      <c r="M782" s="1" t="str">
        <f t="shared" si="275"/>
        <v/>
      </c>
      <c r="N782" s="15"/>
      <c r="O782" s="5" t="str">
        <f t="shared" si="276"/>
        <v/>
      </c>
    </row>
    <row r="783" spans="11:15" ht="12.5">
      <c r="K783" s="1" t="str">
        <v/>
      </c>
      <c r="M783" s="1" t="str">
        <f t="shared" si="275"/>
        <v/>
      </c>
      <c r="N783" s="15"/>
      <c r="O783" s="5" t="str">
        <f t="shared" si="276"/>
        <v/>
      </c>
    </row>
    <row r="784" spans="11:15" ht="12.5">
      <c r="K784" s="1" t="str">
        <v/>
      </c>
      <c r="M784" s="1" t="str">
        <f t="shared" si="275"/>
        <v/>
      </c>
      <c r="N784" s="15"/>
      <c r="O784" s="5" t="str">
        <f t="shared" si="276"/>
        <v/>
      </c>
    </row>
    <row r="785" spans="11:15" ht="12.5">
      <c r="K785" s="1" t="str">
        <v/>
      </c>
      <c r="M785" s="1" t="str">
        <f t="shared" si="275"/>
        <v/>
      </c>
      <c r="N785" s="15"/>
      <c r="O785" s="5" t="str">
        <f t="shared" si="276"/>
        <v/>
      </c>
    </row>
    <row r="786" spans="11:15" ht="12.5">
      <c r="K786" s="1" t="str">
        <v/>
      </c>
      <c r="M786" s="1" t="str">
        <f t="shared" si="275"/>
        <v/>
      </c>
      <c r="N786" s="15"/>
      <c r="O786" s="5" t="str">
        <f t="shared" si="276"/>
        <v/>
      </c>
    </row>
    <row r="787" spans="11:15" ht="12.5">
      <c r="K787" s="1" t="str">
        <v/>
      </c>
      <c r="M787" s="1" t="str">
        <f t="shared" si="275"/>
        <v/>
      </c>
      <c r="N787" s="15"/>
      <c r="O787" s="5" t="str">
        <f t="shared" si="276"/>
        <v/>
      </c>
    </row>
    <row r="788" spans="11:15" ht="12.5">
      <c r="K788" s="1" t="str">
        <v/>
      </c>
      <c r="M788" s="1" t="str">
        <f t="shared" si="275"/>
        <v/>
      </c>
      <c r="N788" s="15"/>
      <c r="O788" s="5" t="str">
        <f t="shared" si="276"/>
        <v/>
      </c>
    </row>
    <row r="789" spans="11:15" ht="12.5">
      <c r="K789" s="1" t="str">
        <v/>
      </c>
      <c r="M789" s="1" t="str">
        <f t="shared" si="275"/>
        <v/>
      </c>
      <c r="N789" s="15"/>
      <c r="O789" s="5" t="str">
        <f t="shared" si="276"/>
        <v/>
      </c>
    </row>
    <row r="790" spans="11:15" ht="12.5">
      <c r="K790" s="1" t="str">
        <v/>
      </c>
      <c r="M790" s="1" t="str">
        <f t="shared" si="275"/>
        <v/>
      </c>
      <c r="N790" s="15"/>
      <c r="O790" s="5" t="str">
        <f t="shared" si="276"/>
        <v/>
      </c>
    </row>
    <row r="791" spans="11:15" ht="12.5">
      <c r="K791" s="1" t="str">
        <v/>
      </c>
      <c r="M791" s="1" t="str">
        <f t="shared" si="275"/>
        <v/>
      </c>
      <c r="N791" s="15"/>
      <c r="O791" s="5" t="str">
        <f t="shared" si="276"/>
        <v/>
      </c>
    </row>
    <row r="792" spans="11:15" ht="12.5">
      <c r="K792" s="1" t="str">
        <v/>
      </c>
      <c r="M792" s="1" t="str">
        <f t="shared" si="275"/>
        <v/>
      </c>
      <c r="N792" s="15"/>
      <c r="O792" s="5" t="str">
        <f t="shared" si="276"/>
        <v/>
      </c>
    </row>
    <row r="793" spans="11:15" ht="12.5">
      <c r="K793" s="1" t="str">
        <v/>
      </c>
      <c r="M793" s="1" t="str">
        <f t="shared" si="275"/>
        <v/>
      </c>
      <c r="N793" s="15"/>
      <c r="O793" s="5" t="str">
        <f t="shared" si="276"/>
        <v/>
      </c>
    </row>
    <row r="794" spans="11:15" ht="12.5">
      <c r="K794" s="1" t="str">
        <v/>
      </c>
      <c r="M794" s="1" t="str">
        <f t="shared" si="275"/>
        <v/>
      </c>
      <c r="N794" s="15"/>
      <c r="O794" s="5" t="str">
        <f t="shared" si="276"/>
        <v/>
      </c>
    </row>
    <row r="795" spans="11:15" ht="12.5">
      <c r="K795" s="1" t="str">
        <v/>
      </c>
      <c r="M795" s="1" t="str">
        <f t="shared" si="275"/>
        <v/>
      </c>
      <c r="N795" s="15"/>
      <c r="O795" s="5" t="str">
        <f t="shared" si="276"/>
        <v/>
      </c>
    </row>
    <row r="796" spans="11:15" ht="12.5">
      <c r="K796" s="1" t="str">
        <v/>
      </c>
      <c r="M796" s="1" t="str">
        <f t="shared" si="275"/>
        <v/>
      </c>
      <c r="N796" s="15"/>
      <c r="O796" s="5" t="str">
        <f t="shared" si="276"/>
        <v/>
      </c>
    </row>
    <row r="797" spans="11:15" ht="12.5">
      <c r="K797" s="1" t="str">
        <v/>
      </c>
      <c r="M797" s="1" t="str">
        <f t="shared" si="275"/>
        <v/>
      </c>
      <c r="N797" s="15"/>
      <c r="O797" s="5" t="str">
        <f t="shared" si="276"/>
        <v/>
      </c>
    </row>
    <row r="798" spans="11:15" ht="12.5">
      <c r="K798" s="1" t="str">
        <v/>
      </c>
      <c r="M798" s="1" t="str">
        <f t="shared" si="275"/>
        <v/>
      </c>
      <c r="N798" s="15"/>
      <c r="O798" s="5" t="str">
        <f t="shared" si="276"/>
        <v/>
      </c>
    </row>
    <row r="799" spans="11:15" ht="12.5">
      <c r="K799" s="1" t="str">
        <v/>
      </c>
      <c r="M799" s="1" t="str">
        <f t="shared" si="275"/>
        <v/>
      </c>
      <c r="N799" s="15"/>
      <c r="O799" s="5" t="str">
        <f t="shared" si="276"/>
        <v/>
      </c>
    </row>
    <row r="800" spans="11:15" ht="12.5">
      <c r="K800" s="1" t="str">
        <v/>
      </c>
      <c r="M800" s="1" t="str">
        <f t="shared" si="275"/>
        <v/>
      </c>
      <c r="N800" s="15"/>
      <c r="O800" s="5" t="str">
        <f t="shared" si="276"/>
        <v/>
      </c>
    </row>
    <row r="801" spans="11:15" ht="12.5">
      <c r="K801" s="1" t="str">
        <v/>
      </c>
      <c r="M801" s="1" t="str">
        <f t="shared" si="275"/>
        <v/>
      </c>
      <c r="N801" s="15"/>
      <c r="O801" s="5" t="str">
        <f t="shared" si="276"/>
        <v/>
      </c>
    </row>
    <row r="802" spans="11:15" ht="12.5">
      <c r="K802" s="1" t="str">
        <v/>
      </c>
      <c r="M802" s="1" t="str">
        <f t="shared" si="275"/>
        <v/>
      </c>
      <c r="N802" s="15"/>
      <c r="O802" s="5" t="str">
        <f t="shared" si="276"/>
        <v/>
      </c>
    </row>
    <row r="803" spans="11:15" ht="12.5">
      <c r="K803" s="1" t="str">
        <v/>
      </c>
      <c r="M803" s="1" t="str">
        <f t="shared" si="275"/>
        <v/>
      </c>
      <c r="N803" s="15"/>
      <c r="O803" s="5" t="str">
        <f t="shared" si="276"/>
        <v/>
      </c>
    </row>
    <row r="804" spans="11:15" ht="12.5">
      <c r="K804" s="1" t="str">
        <v/>
      </c>
      <c r="M804" s="1" t="str">
        <f t="shared" si="275"/>
        <v/>
      </c>
      <c r="N804" s="15"/>
      <c r="O804" s="5" t="str">
        <f t="shared" si="276"/>
        <v/>
      </c>
    </row>
    <row r="805" spans="11:15" ht="12.5">
      <c r="K805" s="1" t="str">
        <v/>
      </c>
      <c r="M805" s="1" t="str">
        <f t="shared" si="275"/>
        <v/>
      </c>
      <c r="N805" s="15"/>
      <c r="O805" s="5" t="str">
        <f t="shared" si="276"/>
        <v/>
      </c>
    </row>
    <row r="806" spans="11:15" ht="12.5">
      <c r="K806" s="1" t="str">
        <v/>
      </c>
      <c r="M806" s="1" t="str">
        <f t="shared" si="275"/>
        <v/>
      </c>
      <c r="N806" s="15"/>
      <c r="O806" s="5" t="str">
        <f t="shared" si="276"/>
        <v/>
      </c>
    </row>
    <row r="807" spans="11:15" ht="12.5">
      <c r="K807" s="1" t="str">
        <v/>
      </c>
      <c r="M807" s="1" t="str">
        <f t="shared" si="275"/>
        <v/>
      </c>
      <c r="N807" s="15"/>
      <c r="O807" s="5" t="str">
        <f t="shared" si="276"/>
        <v/>
      </c>
    </row>
    <row r="808" spans="11:15" ht="12.5">
      <c r="K808" s="1" t="str">
        <v/>
      </c>
      <c r="M808" s="1" t="str">
        <f t="shared" si="275"/>
        <v/>
      </c>
      <c r="N808" s="15"/>
      <c r="O808" s="5" t="str">
        <f t="shared" si="276"/>
        <v/>
      </c>
    </row>
    <row r="809" spans="11:15" ht="12.5">
      <c r="K809" s="1" t="str">
        <v/>
      </c>
      <c r="M809" s="1" t="str">
        <f t="shared" si="275"/>
        <v/>
      </c>
      <c r="N809" s="15"/>
      <c r="O809" s="5" t="str">
        <f t="shared" si="276"/>
        <v/>
      </c>
    </row>
    <row r="810" spans="11:15" ht="12.5">
      <c r="K810" s="1" t="str">
        <v/>
      </c>
      <c r="M810" s="1" t="str">
        <f t="shared" si="275"/>
        <v/>
      </c>
      <c r="N810" s="15"/>
      <c r="O810" s="5" t="str">
        <f t="shared" si="276"/>
        <v/>
      </c>
    </row>
    <row r="811" spans="11:15" ht="12.5">
      <c r="K811" s="1" t="str">
        <v/>
      </c>
      <c r="M811" s="1" t="str">
        <f t="shared" si="275"/>
        <v/>
      </c>
      <c r="N811" s="15"/>
      <c r="O811" s="5" t="str">
        <f t="shared" si="276"/>
        <v/>
      </c>
    </row>
    <row r="812" spans="11:15" ht="12.5">
      <c r="K812" s="1" t="str">
        <v/>
      </c>
      <c r="M812" s="1" t="str">
        <f t="shared" si="275"/>
        <v/>
      </c>
      <c r="N812" s="15"/>
      <c r="O812" s="5" t="str">
        <f t="shared" si="276"/>
        <v/>
      </c>
    </row>
    <row r="813" spans="11:15" ht="12.5">
      <c r="K813" s="1" t="str">
        <v/>
      </c>
      <c r="M813" s="1" t="str">
        <f t="shared" si="275"/>
        <v/>
      </c>
      <c r="N813" s="15"/>
      <c r="O813" s="5" t="str">
        <f t="shared" si="276"/>
        <v/>
      </c>
    </row>
    <row r="814" spans="11:15" ht="12.5">
      <c r="K814" s="1" t="str">
        <v/>
      </c>
      <c r="M814" s="1" t="str">
        <f t="shared" si="275"/>
        <v/>
      </c>
      <c r="N814" s="15"/>
      <c r="O814" s="5" t="str">
        <f t="shared" si="276"/>
        <v/>
      </c>
    </row>
    <row r="815" spans="11:15" ht="12.5">
      <c r="K815" s="1" t="str">
        <v/>
      </c>
      <c r="M815" s="1" t="str">
        <f t="shared" si="275"/>
        <v/>
      </c>
      <c r="N815" s="15"/>
      <c r="O815" s="5" t="str">
        <f t="shared" si="276"/>
        <v/>
      </c>
    </row>
    <row r="816" spans="11:15" ht="12.5">
      <c r="K816" s="1" t="str">
        <v/>
      </c>
      <c r="M816" s="1" t="str">
        <f t="shared" si="275"/>
        <v/>
      </c>
      <c r="N816" s="15"/>
      <c r="O816" s="5" t="str">
        <f t="shared" si="276"/>
        <v/>
      </c>
    </row>
    <row r="817" spans="11:15" ht="12.5">
      <c r="K817" s="1" t="str">
        <v/>
      </c>
      <c r="M817" s="1" t="str">
        <f t="shared" si="275"/>
        <v/>
      </c>
      <c r="N817" s="15"/>
      <c r="O817" s="5" t="str">
        <f t="shared" si="276"/>
        <v/>
      </c>
    </row>
    <row r="818" spans="11:15" ht="12.5">
      <c r="K818" s="1" t="str">
        <v/>
      </c>
      <c r="M818" s="1" t="str">
        <f t="shared" si="275"/>
        <v/>
      </c>
      <c r="N818" s="15"/>
      <c r="O818" s="5" t="str">
        <f t="shared" si="276"/>
        <v/>
      </c>
    </row>
    <row r="819" spans="11:15" ht="12.5">
      <c r="K819" s="1" t="str">
        <v/>
      </c>
      <c r="M819" s="1" t="str">
        <f t="shared" si="275"/>
        <v/>
      </c>
      <c r="N819" s="15"/>
      <c r="O819" s="5" t="str">
        <f t="shared" si="276"/>
        <v/>
      </c>
    </row>
    <row r="820" spans="11:15" ht="12.5">
      <c r="K820" s="1" t="str">
        <v/>
      </c>
      <c r="M820" s="1" t="str">
        <f t="shared" si="275"/>
        <v/>
      </c>
      <c r="N820" s="15"/>
      <c r="O820" s="5" t="str">
        <f t="shared" si="276"/>
        <v/>
      </c>
    </row>
    <row r="821" spans="11:15" ht="12.5">
      <c r="K821" s="1" t="str">
        <v/>
      </c>
      <c r="M821" s="1" t="str">
        <f t="shared" si="275"/>
        <v/>
      </c>
      <c r="N821" s="15"/>
      <c r="O821" s="5" t="str">
        <f t="shared" si="276"/>
        <v/>
      </c>
    </row>
    <row r="822" spans="11:15" ht="12.5">
      <c r="K822" s="1" t="str">
        <v/>
      </c>
      <c r="M822" s="1" t="str">
        <f t="shared" si="275"/>
        <v/>
      </c>
      <c r="N822" s="15"/>
      <c r="O822" s="5" t="str">
        <f t="shared" si="276"/>
        <v/>
      </c>
    </row>
    <row r="823" spans="11:15" ht="12.5">
      <c r="K823" s="1" t="str">
        <v/>
      </c>
      <c r="M823" s="1" t="str">
        <f t="shared" si="275"/>
        <v/>
      </c>
      <c r="N823" s="15"/>
      <c r="O823" s="5" t="str">
        <f t="shared" si="276"/>
        <v/>
      </c>
    </row>
    <row r="824" spans="11:15" ht="12.5">
      <c r="K824" s="1" t="str">
        <v/>
      </c>
      <c r="M824" s="1" t="str">
        <f t="shared" si="275"/>
        <v/>
      </c>
      <c r="N824" s="15"/>
      <c r="O824" s="5" t="str">
        <f t="shared" si="276"/>
        <v/>
      </c>
    </row>
    <row r="825" spans="11:15" ht="12.5">
      <c r="K825" s="1" t="str">
        <v/>
      </c>
      <c r="M825" s="1" t="str">
        <f t="shared" si="275"/>
        <v/>
      </c>
      <c r="N825" s="15"/>
      <c r="O825" s="5" t="str">
        <f t="shared" si="276"/>
        <v/>
      </c>
    </row>
    <row r="826" spans="11:15" ht="12.5">
      <c r="K826" s="1" t="str">
        <v/>
      </c>
      <c r="M826" s="1" t="str">
        <f t="shared" si="275"/>
        <v/>
      </c>
      <c r="N826" s="15"/>
      <c r="O826" s="5" t="str">
        <f t="shared" si="276"/>
        <v/>
      </c>
    </row>
    <row r="827" spans="11:15" ht="12.5">
      <c r="K827" s="1" t="str">
        <v/>
      </c>
      <c r="M827" s="1" t="str">
        <f t="shared" si="275"/>
        <v/>
      </c>
      <c r="N827" s="15"/>
      <c r="O827" s="5" t="str">
        <f t="shared" si="276"/>
        <v/>
      </c>
    </row>
    <row r="828" spans="11:15" ht="12.5">
      <c r="K828" s="1" t="str">
        <v/>
      </c>
      <c r="M828" s="1" t="str">
        <f t="shared" si="275"/>
        <v/>
      </c>
      <c r="N828" s="15"/>
      <c r="O828" s="5" t="str">
        <f t="shared" si="276"/>
        <v/>
      </c>
    </row>
    <row r="829" spans="11:15" ht="12.5">
      <c r="K829" s="1" t="str">
        <v/>
      </c>
      <c r="M829" s="1" t="str">
        <f t="shared" si="275"/>
        <v/>
      </c>
      <c r="N829" s="15"/>
      <c r="O829" s="5" t="str">
        <f t="shared" si="276"/>
        <v/>
      </c>
    </row>
    <row r="830" spans="11:15" ht="12.5">
      <c r="K830" s="1" t="str">
        <v/>
      </c>
      <c r="M830" s="1" t="str">
        <f t="shared" si="275"/>
        <v/>
      </c>
      <c r="N830" s="15"/>
      <c r="O830" s="5" t="str">
        <f t="shared" si="276"/>
        <v/>
      </c>
    </row>
    <row r="831" spans="11:15" ht="12.5">
      <c r="K831" s="1" t="str">
        <v/>
      </c>
      <c r="M831" s="1" t="str">
        <f t="shared" si="275"/>
        <v/>
      </c>
      <c r="N831" s="15"/>
      <c r="O831" s="5" t="str">
        <f t="shared" si="276"/>
        <v/>
      </c>
    </row>
    <row r="832" spans="11:15" ht="12.5">
      <c r="K832" s="1" t="str">
        <v/>
      </c>
      <c r="M832" s="1" t="str">
        <f t="shared" si="275"/>
        <v/>
      </c>
      <c r="N832" s="15"/>
      <c r="O832" s="5" t="str">
        <f t="shared" si="276"/>
        <v/>
      </c>
    </row>
    <row r="833" spans="11:15" ht="12.5">
      <c r="K833" s="1" t="str">
        <v/>
      </c>
      <c r="M833" s="1" t="str">
        <f t="shared" si="275"/>
        <v/>
      </c>
      <c r="N833" s="15"/>
      <c r="O833" s="5" t="str">
        <f t="shared" si="276"/>
        <v/>
      </c>
    </row>
    <row r="834" spans="11:15" ht="12.5">
      <c r="K834" s="1" t="str">
        <v/>
      </c>
      <c r="M834" s="1" t="str">
        <f t="shared" si="275"/>
        <v/>
      </c>
      <c r="N834" s="15"/>
      <c r="O834" s="5" t="str">
        <f t="shared" si="276"/>
        <v/>
      </c>
    </row>
    <row r="835" spans="11:15" ht="12.5">
      <c r="K835" s="1" t="str">
        <v/>
      </c>
      <c r="M835" s="1" t="str">
        <f t="shared" ref="M835:M898" si="277">IF(G835="","",IF(LOWER(TRIM(G835))="north america","North America",IF(LOWER(TRIM(G835))="emea","EMEA",IF(LOWER(TRIM(G835))="apac","APAC",IF(LOWER(TRIM(G835))="latam","LATAM",TRIM(G835))))))</f>
        <v/>
      </c>
      <c r="N835" s="15"/>
      <c r="O835" s="5" t="str">
        <f t="shared" ref="O835:O898" si="278">IF(OR(H835="",N835=""),"",H835*N835)</f>
        <v/>
      </c>
    </row>
    <row r="836" spans="11:15" ht="12.5">
      <c r="K836" s="1" t="str">
        <v/>
      </c>
      <c r="M836" s="1" t="str">
        <f t="shared" si="277"/>
        <v/>
      </c>
      <c r="N836" s="15"/>
      <c r="O836" s="5" t="str">
        <f t="shared" si="278"/>
        <v/>
      </c>
    </row>
    <row r="837" spans="11:15" ht="12.5">
      <c r="K837" s="1" t="str">
        <v/>
      </c>
      <c r="M837" s="1" t="str">
        <f t="shared" si="277"/>
        <v/>
      </c>
      <c r="N837" s="15"/>
      <c r="O837" s="5" t="str">
        <f t="shared" si="278"/>
        <v/>
      </c>
    </row>
    <row r="838" spans="11:15" ht="12.5">
      <c r="K838" s="1" t="str">
        <v/>
      </c>
      <c r="M838" s="1" t="str">
        <f t="shared" si="277"/>
        <v/>
      </c>
      <c r="N838" s="15"/>
      <c r="O838" s="5" t="str">
        <f t="shared" si="278"/>
        <v/>
      </c>
    </row>
    <row r="839" spans="11:15" ht="12.5">
      <c r="K839" s="1" t="str">
        <v/>
      </c>
      <c r="M839" s="1" t="str">
        <f t="shared" si="277"/>
        <v/>
      </c>
      <c r="N839" s="15"/>
      <c r="O839" s="5" t="str">
        <f t="shared" si="278"/>
        <v/>
      </c>
    </row>
    <row r="840" spans="11:15" ht="12.5">
      <c r="K840" s="1" t="str">
        <v/>
      </c>
      <c r="M840" s="1" t="str">
        <f t="shared" si="277"/>
        <v/>
      </c>
      <c r="N840" s="15"/>
      <c r="O840" s="5" t="str">
        <f t="shared" si="278"/>
        <v/>
      </c>
    </row>
    <row r="841" spans="11:15" ht="12.5">
      <c r="K841" s="1" t="str">
        <v/>
      </c>
      <c r="M841" s="1" t="str">
        <f t="shared" si="277"/>
        <v/>
      </c>
      <c r="N841" s="15"/>
      <c r="O841" s="5" t="str">
        <f t="shared" si="278"/>
        <v/>
      </c>
    </row>
    <row r="842" spans="11:15" ht="12.5">
      <c r="K842" s="1" t="str">
        <v/>
      </c>
      <c r="M842" s="1" t="str">
        <f t="shared" si="277"/>
        <v/>
      </c>
      <c r="N842" s="15"/>
      <c r="O842" s="5" t="str">
        <f t="shared" si="278"/>
        <v/>
      </c>
    </row>
    <row r="843" spans="11:15" ht="12.5">
      <c r="K843" s="1" t="str">
        <v/>
      </c>
      <c r="M843" s="1" t="str">
        <f t="shared" si="277"/>
        <v/>
      </c>
      <c r="N843" s="15"/>
      <c r="O843" s="5" t="str">
        <f t="shared" si="278"/>
        <v/>
      </c>
    </row>
    <row r="844" spans="11:15" ht="12.5">
      <c r="K844" s="1" t="str">
        <v/>
      </c>
      <c r="M844" s="1" t="str">
        <f t="shared" si="277"/>
        <v/>
      </c>
      <c r="N844" s="15"/>
      <c r="O844" s="5" t="str">
        <f t="shared" si="278"/>
        <v/>
      </c>
    </row>
    <row r="845" spans="11:15" ht="12.5">
      <c r="K845" s="1" t="str">
        <v/>
      </c>
      <c r="M845" s="1" t="str">
        <f t="shared" si="277"/>
        <v/>
      </c>
      <c r="N845" s="15"/>
      <c r="O845" s="5" t="str">
        <f t="shared" si="278"/>
        <v/>
      </c>
    </row>
    <row r="846" spans="11:15" ht="12.5">
      <c r="K846" s="1" t="str">
        <v/>
      </c>
      <c r="M846" s="1" t="str">
        <f t="shared" si="277"/>
        <v/>
      </c>
      <c r="N846" s="15"/>
      <c r="O846" s="5" t="str">
        <f t="shared" si="278"/>
        <v/>
      </c>
    </row>
    <row r="847" spans="11:15" ht="12.5">
      <c r="K847" s="1" t="str">
        <v/>
      </c>
      <c r="M847" s="1" t="str">
        <f t="shared" si="277"/>
        <v/>
      </c>
      <c r="N847" s="15"/>
      <c r="O847" s="5" t="str">
        <f t="shared" si="278"/>
        <v/>
      </c>
    </row>
    <row r="848" spans="11:15" ht="12.5">
      <c r="K848" s="1" t="str">
        <v/>
      </c>
      <c r="M848" s="1" t="str">
        <f t="shared" si="277"/>
        <v/>
      </c>
      <c r="N848" s="15"/>
      <c r="O848" s="5" t="str">
        <f t="shared" si="278"/>
        <v/>
      </c>
    </row>
    <row r="849" spans="11:15" ht="12.5">
      <c r="K849" s="1" t="str">
        <v/>
      </c>
      <c r="M849" s="1" t="str">
        <f t="shared" si="277"/>
        <v/>
      </c>
      <c r="N849" s="15"/>
      <c r="O849" s="5" t="str">
        <f t="shared" si="278"/>
        <v/>
      </c>
    </row>
    <row r="850" spans="11:15" ht="12.5">
      <c r="K850" s="1" t="str">
        <v/>
      </c>
      <c r="M850" s="1" t="str">
        <f t="shared" si="277"/>
        <v/>
      </c>
      <c r="N850" s="15"/>
      <c r="O850" s="5" t="str">
        <f t="shared" si="278"/>
        <v/>
      </c>
    </row>
    <row r="851" spans="11:15" ht="12.5">
      <c r="K851" s="1" t="str">
        <v/>
      </c>
      <c r="M851" s="1" t="str">
        <f t="shared" si="277"/>
        <v/>
      </c>
      <c r="N851" s="15"/>
      <c r="O851" s="5" t="str">
        <f t="shared" si="278"/>
        <v/>
      </c>
    </row>
    <row r="852" spans="11:15" ht="12.5">
      <c r="K852" s="1" t="str">
        <v/>
      </c>
      <c r="M852" s="1" t="str">
        <f t="shared" si="277"/>
        <v/>
      </c>
      <c r="N852" s="15"/>
      <c r="O852" s="5" t="str">
        <f t="shared" si="278"/>
        <v/>
      </c>
    </row>
    <row r="853" spans="11:15" ht="12.5">
      <c r="K853" s="1" t="str">
        <v/>
      </c>
      <c r="M853" s="1" t="str">
        <f t="shared" si="277"/>
        <v/>
      </c>
      <c r="N853" s="15"/>
      <c r="O853" s="5" t="str">
        <f t="shared" si="278"/>
        <v/>
      </c>
    </row>
    <row r="854" spans="11:15" ht="12.5">
      <c r="K854" s="1" t="str">
        <v/>
      </c>
      <c r="M854" s="1" t="str">
        <f t="shared" si="277"/>
        <v/>
      </c>
      <c r="N854" s="15"/>
      <c r="O854" s="5" t="str">
        <f t="shared" si="278"/>
        <v/>
      </c>
    </row>
    <row r="855" spans="11:15" ht="12.5">
      <c r="K855" s="1" t="str">
        <v/>
      </c>
      <c r="M855" s="1" t="str">
        <f t="shared" si="277"/>
        <v/>
      </c>
      <c r="N855" s="15"/>
      <c r="O855" s="5" t="str">
        <f t="shared" si="278"/>
        <v/>
      </c>
    </row>
    <row r="856" spans="11:15" ht="12.5">
      <c r="K856" s="1" t="str">
        <v/>
      </c>
      <c r="M856" s="1" t="str">
        <f t="shared" si="277"/>
        <v/>
      </c>
      <c r="N856" s="15"/>
      <c r="O856" s="5" t="str">
        <f t="shared" si="278"/>
        <v/>
      </c>
    </row>
    <row r="857" spans="11:15" ht="12.5">
      <c r="K857" s="1" t="str">
        <v/>
      </c>
      <c r="M857" s="1" t="str">
        <f t="shared" si="277"/>
        <v/>
      </c>
      <c r="N857" s="15"/>
      <c r="O857" s="5" t="str">
        <f t="shared" si="278"/>
        <v/>
      </c>
    </row>
    <row r="858" spans="11:15" ht="12.5">
      <c r="K858" s="1" t="str">
        <v/>
      </c>
      <c r="M858" s="1" t="str">
        <f t="shared" si="277"/>
        <v/>
      </c>
      <c r="N858" s="15"/>
      <c r="O858" s="5" t="str">
        <f t="shared" si="278"/>
        <v/>
      </c>
    </row>
    <row r="859" spans="11:15" ht="12.5">
      <c r="K859" s="1" t="str">
        <v/>
      </c>
      <c r="M859" s="1" t="str">
        <f t="shared" si="277"/>
        <v/>
      </c>
      <c r="N859" s="15"/>
      <c r="O859" s="5" t="str">
        <f t="shared" si="278"/>
        <v/>
      </c>
    </row>
    <row r="860" spans="11:15" ht="12.5">
      <c r="K860" s="1" t="str">
        <v/>
      </c>
      <c r="M860" s="1" t="str">
        <f t="shared" si="277"/>
        <v/>
      </c>
      <c r="N860" s="15"/>
      <c r="O860" s="5" t="str">
        <f t="shared" si="278"/>
        <v/>
      </c>
    </row>
    <row r="861" spans="11:15" ht="12.5">
      <c r="K861" s="1" t="str">
        <v/>
      </c>
      <c r="M861" s="1" t="str">
        <f t="shared" si="277"/>
        <v/>
      </c>
      <c r="N861" s="15"/>
      <c r="O861" s="5" t="str">
        <f t="shared" si="278"/>
        <v/>
      </c>
    </row>
    <row r="862" spans="11:15" ht="12.5">
      <c r="K862" s="1" t="str">
        <v/>
      </c>
      <c r="M862" s="1" t="str">
        <f t="shared" si="277"/>
        <v/>
      </c>
      <c r="N862" s="15"/>
      <c r="O862" s="5" t="str">
        <f t="shared" si="278"/>
        <v/>
      </c>
    </row>
    <row r="863" spans="11:15" ht="12.5">
      <c r="K863" s="1" t="str">
        <v/>
      </c>
      <c r="M863" s="1" t="str">
        <f t="shared" si="277"/>
        <v/>
      </c>
      <c r="N863" s="15"/>
      <c r="O863" s="5" t="str">
        <f t="shared" si="278"/>
        <v/>
      </c>
    </row>
    <row r="864" spans="11:15" ht="12.5">
      <c r="K864" s="1" t="str">
        <v/>
      </c>
      <c r="M864" s="1" t="str">
        <f t="shared" si="277"/>
        <v/>
      </c>
      <c r="N864" s="15"/>
      <c r="O864" s="5" t="str">
        <f t="shared" si="278"/>
        <v/>
      </c>
    </row>
    <row r="865" spans="11:15" ht="12.5">
      <c r="K865" s="1" t="str">
        <v/>
      </c>
      <c r="M865" s="1" t="str">
        <f t="shared" si="277"/>
        <v/>
      </c>
      <c r="N865" s="15"/>
      <c r="O865" s="5" t="str">
        <f t="shared" si="278"/>
        <v/>
      </c>
    </row>
    <row r="866" spans="11:15" ht="12.5">
      <c r="K866" s="1" t="str">
        <v/>
      </c>
      <c r="M866" s="1" t="str">
        <f t="shared" si="277"/>
        <v/>
      </c>
      <c r="N866" s="15"/>
      <c r="O866" s="5" t="str">
        <f t="shared" si="278"/>
        <v/>
      </c>
    </row>
    <row r="867" spans="11:15" ht="12.5">
      <c r="K867" s="1" t="str">
        <v/>
      </c>
      <c r="M867" s="1" t="str">
        <f t="shared" si="277"/>
        <v/>
      </c>
      <c r="N867" s="15"/>
      <c r="O867" s="5" t="str">
        <f t="shared" si="278"/>
        <v/>
      </c>
    </row>
    <row r="868" spans="11:15" ht="12.5">
      <c r="K868" s="1" t="str">
        <v/>
      </c>
      <c r="M868" s="1" t="str">
        <f t="shared" si="277"/>
        <v/>
      </c>
      <c r="N868" s="15"/>
      <c r="O868" s="5" t="str">
        <f t="shared" si="278"/>
        <v/>
      </c>
    </row>
    <row r="869" spans="11:15" ht="12.5">
      <c r="K869" s="1" t="str">
        <v/>
      </c>
      <c r="M869" s="1" t="str">
        <f t="shared" si="277"/>
        <v/>
      </c>
      <c r="N869" s="15"/>
      <c r="O869" s="5" t="str">
        <f t="shared" si="278"/>
        <v/>
      </c>
    </row>
    <row r="870" spans="11:15" ht="12.5">
      <c r="K870" s="1" t="str">
        <v/>
      </c>
      <c r="M870" s="1" t="str">
        <f t="shared" si="277"/>
        <v/>
      </c>
      <c r="N870" s="15"/>
      <c r="O870" s="5" t="str">
        <f t="shared" si="278"/>
        <v/>
      </c>
    </row>
    <row r="871" spans="11:15" ht="12.5">
      <c r="K871" s="1" t="str">
        <v/>
      </c>
      <c r="M871" s="1" t="str">
        <f t="shared" si="277"/>
        <v/>
      </c>
      <c r="N871" s="15"/>
      <c r="O871" s="5" t="str">
        <f t="shared" si="278"/>
        <v/>
      </c>
    </row>
    <row r="872" spans="11:15" ht="12.5">
      <c r="K872" s="1" t="str">
        <v/>
      </c>
      <c r="M872" s="1" t="str">
        <f t="shared" si="277"/>
        <v/>
      </c>
      <c r="N872" s="15"/>
      <c r="O872" s="5" t="str">
        <f t="shared" si="278"/>
        <v/>
      </c>
    </row>
    <row r="873" spans="11:15" ht="12.5">
      <c r="K873" s="1" t="str">
        <v/>
      </c>
      <c r="M873" s="1" t="str">
        <f t="shared" si="277"/>
        <v/>
      </c>
      <c r="N873" s="15"/>
      <c r="O873" s="5" t="str">
        <f t="shared" si="278"/>
        <v/>
      </c>
    </row>
    <row r="874" spans="11:15" ht="12.5">
      <c r="K874" s="1" t="str">
        <v/>
      </c>
      <c r="M874" s="1" t="str">
        <f t="shared" si="277"/>
        <v/>
      </c>
      <c r="N874" s="15"/>
      <c r="O874" s="5" t="str">
        <f t="shared" si="278"/>
        <v/>
      </c>
    </row>
    <row r="875" spans="11:15" ht="12.5">
      <c r="K875" s="1" t="str">
        <v/>
      </c>
      <c r="M875" s="1" t="str">
        <f t="shared" si="277"/>
        <v/>
      </c>
      <c r="N875" s="15"/>
      <c r="O875" s="5" t="str">
        <f t="shared" si="278"/>
        <v/>
      </c>
    </row>
    <row r="876" spans="11:15" ht="12.5">
      <c r="K876" s="1" t="str">
        <v/>
      </c>
      <c r="M876" s="1" t="str">
        <f t="shared" si="277"/>
        <v/>
      </c>
      <c r="N876" s="15"/>
      <c r="O876" s="5" t="str">
        <f t="shared" si="278"/>
        <v/>
      </c>
    </row>
    <row r="877" spans="11:15" ht="12.5">
      <c r="K877" s="1" t="str">
        <v/>
      </c>
      <c r="M877" s="1" t="str">
        <f t="shared" si="277"/>
        <v/>
      </c>
      <c r="N877" s="15"/>
      <c r="O877" s="5" t="str">
        <f t="shared" si="278"/>
        <v/>
      </c>
    </row>
    <row r="878" spans="11:15" ht="12.5">
      <c r="K878" s="1" t="str">
        <v/>
      </c>
      <c r="M878" s="1" t="str">
        <f t="shared" si="277"/>
        <v/>
      </c>
      <c r="N878" s="15"/>
      <c r="O878" s="5" t="str">
        <f t="shared" si="278"/>
        <v/>
      </c>
    </row>
    <row r="879" spans="11:15" ht="12.5">
      <c r="K879" s="1" t="str">
        <v/>
      </c>
      <c r="M879" s="1" t="str">
        <f t="shared" si="277"/>
        <v/>
      </c>
      <c r="N879" s="15"/>
      <c r="O879" s="5" t="str">
        <f t="shared" si="278"/>
        <v/>
      </c>
    </row>
    <row r="880" spans="11:15" ht="12.5">
      <c r="K880" s="1" t="str">
        <v/>
      </c>
      <c r="M880" s="1" t="str">
        <f t="shared" si="277"/>
        <v/>
      </c>
      <c r="N880" s="15"/>
      <c r="O880" s="5" t="str">
        <f t="shared" si="278"/>
        <v/>
      </c>
    </row>
    <row r="881" spans="11:15" ht="12.5">
      <c r="K881" s="1" t="str">
        <v/>
      </c>
      <c r="M881" s="1" t="str">
        <f t="shared" si="277"/>
        <v/>
      </c>
      <c r="N881" s="15"/>
      <c r="O881" s="5" t="str">
        <f t="shared" si="278"/>
        <v/>
      </c>
    </row>
    <row r="882" spans="11:15" ht="12.5">
      <c r="K882" s="1" t="str">
        <v/>
      </c>
      <c r="M882" s="1" t="str">
        <f t="shared" si="277"/>
        <v/>
      </c>
      <c r="N882" s="15"/>
      <c r="O882" s="5" t="str">
        <f t="shared" si="278"/>
        <v/>
      </c>
    </row>
    <row r="883" spans="11:15" ht="12.5">
      <c r="K883" s="1" t="str">
        <v/>
      </c>
      <c r="M883" s="1" t="str">
        <f t="shared" si="277"/>
        <v/>
      </c>
      <c r="N883" s="15"/>
      <c r="O883" s="5" t="str">
        <f t="shared" si="278"/>
        <v/>
      </c>
    </row>
    <row r="884" spans="11:15" ht="12.5">
      <c r="K884" s="1" t="str">
        <v/>
      </c>
      <c r="M884" s="1" t="str">
        <f t="shared" si="277"/>
        <v/>
      </c>
      <c r="N884" s="15"/>
      <c r="O884" s="5" t="str">
        <f t="shared" si="278"/>
        <v/>
      </c>
    </row>
    <row r="885" spans="11:15" ht="12.5">
      <c r="K885" s="1" t="str">
        <v/>
      </c>
      <c r="M885" s="1" t="str">
        <f t="shared" si="277"/>
        <v/>
      </c>
      <c r="N885" s="15"/>
      <c r="O885" s="5" t="str">
        <f t="shared" si="278"/>
        <v/>
      </c>
    </row>
    <row r="886" spans="11:15" ht="12.5">
      <c r="K886" s="1" t="str">
        <v/>
      </c>
      <c r="M886" s="1" t="str">
        <f t="shared" si="277"/>
        <v/>
      </c>
      <c r="N886" s="15"/>
      <c r="O886" s="5" t="str">
        <f t="shared" si="278"/>
        <v/>
      </c>
    </row>
    <row r="887" spans="11:15" ht="12.5">
      <c r="K887" s="1" t="str">
        <v/>
      </c>
      <c r="M887" s="1" t="str">
        <f t="shared" si="277"/>
        <v/>
      </c>
      <c r="N887" s="15"/>
      <c r="O887" s="5" t="str">
        <f t="shared" si="278"/>
        <v/>
      </c>
    </row>
    <row r="888" spans="11:15" ht="12.5">
      <c r="K888" s="1" t="str">
        <v/>
      </c>
      <c r="M888" s="1" t="str">
        <f t="shared" si="277"/>
        <v/>
      </c>
      <c r="N888" s="15"/>
      <c r="O888" s="5" t="str">
        <f t="shared" si="278"/>
        <v/>
      </c>
    </row>
    <row r="889" spans="11:15" ht="12.5">
      <c r="K889" s="1" t="str">
        <v/>
      </c>
      <c r="M889" s="1" t="str">
        <f t="shared" si="277"/>
        <v/>
      </c>
      <c r="N889" s="15"/>
      <c r="O889" s="5" t="str">
        <f t="shared" si="278"/>
        <v/>
      </c>
    </row>
    <row r="890" spans="11:15" ht="12.5">
      <c r="K890" s="1" t="str">
        <v/>
      </c>
      <c r="M890" s="1" t="str">
        <f t="shared" si="277"/>
        <v/>
      </c>
      <c r="N890" s="15"/>
      <c r="O890" s="5" t="str">
        <f t="shared" si="278"/>
        <v/>
      </c>
    </row>
    <row r="891" spans="11:15" ht="12.5">
      <c r="K891" s="1" t="str">
        <v/>
      </c>
      <c r="M891" s="1" t="str">
        <f t="shared" si="277"/>
        <v/>
      </c>
      <c r="N891" s="15"/>
      <c r="O891" s="5" t="str">
        <f t="shared" si="278"/>
        <v/>
      </c>
    </row>
    <row r="892" spans="11:15" ht="12.5">
      <c r="K892" s="1" t="str">
        <v/>
      </c>
      <c r="M892" s="1" t="str">
        <f t="shared" si="277"/>
        <v/>
      </c>
      <c r="N892" s="15"/>
      <c r="O892" s="5" t="str">
        <f t="shared" si="278"/>
        <v/>
      </c>
    </row>
    <row r="893" spans="11:15" ht="12.5">
      <c r="K893" s="1" t="str">
        <v/>
      </c>
      <c r="M893" s="1" t="str">
        <f t="shared" si="277"/>
        <v/>
      </c>
      <c r="N893" s="15"/>
      <c r="O893" s="5" t="str">
        <f t="shared" si="278"/>
        <v/>
      </c>
    </row>
    <row r="894" spans="11:15" ht="12.5">
      <c r="K894" s="1" t="str">
        <v/>
      </c>
      <c r="M894" s="1" t="str">
        <f t="shared" si="277"/>
        <v/>
      </c>
      <c r="N894" s="15"/>
      <c r="O894" s="5" t="str">
        <f t="shared" si="278"/>
        <v/>
      </c>
    </row>
    <row r="895" spans="11:15" ht="12.5">
      <c r="K895" s="1" t="str">
        <v/>
      </c>
      <c r="M895" s="1" t="str">
        <f t="shared" si="277"/>
        <v/>
      </c>
      <c r="N895" s="15"/>
      <c r="O895" s="5" t="str">
        <f t="shared" si="278"/>
        <v/>
      </c>
    </row>
    <row r="896" spans="11:15" ht="12.5">
      <c r="K896" s="1" t="str">
        <v/>
      </c>
      <c r="M896" s="1" t="str">
        <f t="shared" si="277"/>
        <v/>
      </c>
      <c r="N896" s="15"/>
      <c r="O896" s="5" t="str">
        <f t="shared" si="278"/>
        <v/>
      </c>
    </row>
    <row r="897" spans="11:15" ht="12.5">
      <c r="K897" s="1" t="str">
        <v/>
      </c>
      <c r="M897" s="1" t="str">
        <f t="shared" si="277"/>
        <v/>
      </c>
      <c r="N897" s="15"/>
      <c r="O897" s="5" t="str">
        <f t="shared" si="278"/>
        <v/>
      </c>
    </row>
    <row r="898" spans="11:15" ht="12.5">
      <c r="K898" s="1" t="str">
        <v/>
      </c>
      <c r="M898" s="1" t="str">
        <f t="shared" si="277"/>
        <v/>
      </c>
      <c r="N898" s="15"/>
      <c r="O898" s="5" t="str">
        <f t="shared" si="278"/>
        <v/>
      </c>
    </row>
    <row r="899" spans="11:15" ht="12.5">
      <c r="K899" s="1" t="str">
        <v/>
      </c>
      <c r="M899" s="1" t="str">
        <f t="shared" ref="M899:M962" si="279">IF(G899="","",IF(LOWER(TRIM(G899))="north america","North America",IF(LOWER(TRIM(G899))="emea","EMEA",IF(LOWER(TRIM(G899))="apac","APAC",IF(LOWER(TRIM(G899))="latam","LATAM",TRIM(G899))))))</f>
        <v/>
      </c>
      <c r="N899" s="15"/>
      <c r="O899" s="5" t="str">
        <f t="shared" ref="O899:O962" si="280">IF(OR(H899="",N899=""),"",H899*N899)</f>
        <v/>
      </c>
    </row>
    <row r="900" spans="11:15" ht="12.5">
      <c r="K900" s="1" t="str">
        <v/>
      </c>
      <c r="M900" s="1" t="str">
        <f t="shared" si="279"/>
        <v/>
      </c>
      <c r="N900" s="15"/>
      <c r="O900" s="5" t="str">
        <f t="shared" si="280"/>
        <v/>
      </c>
    </row>
    <row r="901" spans="11:15" ht="12.5">
      <c r="K901" s="1" t="str">
        <v/>
      </c>
      <c r="M901" s="1" t="str">
        <f t="shared" si="279"/>
        <v/>
      </c>
      <c r="N901" s="15"/>
      <c r="O901" s="5" t="str">
        <f t="shared" si="280"/>
        <v/>
      </c>
    </row>
    <row r="902" spans="11:15" ht="12.5">
      <c r="K902" s="1" t="str">
        <v/>
      </c>
      <c r="M902" s="1" t="str">
        <f t="shared" si="279"/>
        <v/>
      </c>
      <c r="N902" s="15"/>
      <c r="O902" s="5" t="str">
        <f t="shared" si="280"/>
        <v/>
      </c>
    </row>
    <row r="903" spans="11:15" ht="12.5">
      <c r="K903" s="1" t="str">
        <v/>
      </c>
      <c r="M903" s="1" t="str">
        <f t="shared" si="279"/>
        <v/>
      </c>
      <c r="N903" s="15"/>
      <c r="O903" s="5" t="str">
        <f t="shared" si="280"/>
        <v/>
      </c>
    </row>
    <row r="904" spans="11:15" ht="12.5">
      <c r="K904" s="1" t="str">
        <v/>
      </c>
      <c r="M904" s="1" t="str">
        <f t="shared" si="279"/>
        <v/>
      </c>
      <c r="N904" s="15"/>
      <c r="O904" s="5" t="str">
        <f t="shared" si="280"/>
        <v/>
      </c>
    </row>
    <row r="905" spans="11:15" ht="12.5">
      <c r="K905" s="1" t="str">
        <v/>
      </c>
      <c r="M905" s="1" t="str">
        <f t="shared" si="279"/>
        <v/>
      </c>
      <c r="N905" s="15"/>
      <c r="O905" s="5" t="str">
        <f t="shared" si="280"/>
        <v/>
      </c>
    </row>
    <row r="906" spans="11:15" ht="12.5">
      <c r="K906" s="1" t="str">
        <v/>
      </c>
      <c r="M906" s="1" t="str">
        <f t="shared" si="279"/>
        <v/>
      </c>
      <c r="N906" s="15"/>
      <c r="O906" s="5" t="str">
        <f t="shared" si="280"/>
        <v/>
      </c>
    </row>
    <row r="907" spans="11:15" ht="12.5">
      <c r="K907" s="1" t="str">
        <v/>
      </c>
      <c r="M907" s="1" t="str">
        <f t="shared" si="279"/>
        <v/>
      </c>
      <c r="N907" s="15"/>
      <c r="O907" s="5" t="str">
        <f t="shared" si="280"/>
        <v/>
      </c>
    </row>
    <row r="908" spans="11:15" ht="12.5">
      <c r="K908" s="1" t="str">
        <v/>
      </c>
      <c r="M908" s="1" t="str">
        <f t="shared" si="279"/>
        <v/>
      </c>
      <c r="N908" s="15"/>
      <c r="O908" s="5" t="str">
        <f t="shared" si="280"/>
        <v/>
      </c>
    </row>
    <row r="909" spans="11:15" ht="12.5">
      <c r="K909" s="1" t="str">
        <v/>
      </c>
      <c r="M909" s="1" t="str">
        <f t="shared" si="279"/>
        <v/>
      </c>
      <c r="N909" s="15"/>
      <c r="O909" s="5" t="str">
        <f t="shared" si="280"/>
        <v/>
      </c>
    </row>
    <row r="910" spans="11:15" ht="12.5">
      <c r="K910" s="1" t="str">
        <v/>
      </c>
      <c r="M910" s="1" t="str">
        <f t="shared" si="279"/>
        <v/>
      </c>
      <c r="N910" s="15"/>
      <c r="O910" s="5" t="str">
        <f t="shared" si="280"/>
        <v/>
      </c>
    </row>
    <row r="911" spans="11:15" ht="12.5">
      <c r="K911" s="1" t="str">
        <v/>
      </c>
      <c r="M911" s="1" t="str">
        <f t="shared" si="279"/>
        <v/>
      </c>
      <c r="N911" s="15"/>
      <c r="O911" s="5" t="str">
        <f t="shared" si="280"/>
        <v/>
      </c>
    </row>
    <row r="912" spans="11:15" ht="12.5">
      <c r="K912" s="1" t="str">
        <v/>
      </c>
      <c r="M912" s="1" t="str">
        <f t="shared" si="279"/>
        <v/>
      </c>
      <c r="N912" s="15"/>
      <c r="O912" s="5" t="str">
        <f t="shared" si="280"/>
        <v/>
      </c>
    </row>
    <row r="913" spans="11:15" ht="12.5">
      <c r="K913" s="1" t="str">
        <v/>
      </c>
      <c r="M913" s="1" t="str">
        <f t="shared" si="279"/>
        <v/>
      </c>
      <c r="N913" s="15"/>
      <c r="O913" s="5" t="str">
        <f t="shared" si="280"/>
        <v/>
      </c>
    </row>
    <row r="914" spans="11:15" ht="12.5">
      <c r="K914" s="1" t="str">
        <v/>
      </c>
      <c r="M914" s="1" t="str">
        <f t="shared" si="279"/>
        <v/>
      </c>
      <c r="N914" s="15"/>
      <c r="O914" s="5" t="str">
        <f t="shared" si="280"/>
        <v/>
      </c>
    </row>
    <row r="915" spans="11:15" ht="12.5">
      <c r="K915" s="1" t="str">
        <v/>
      </c>
      <c r="M915" s="1" t="str">
        <f t="shared" si="279"/>
        <v/>
      </c>
      <c r="N915" s="15"/>
      <c r="O915" s="5" t="str">
        <f t="shared" si="280"/>
        <v/>
      </c>
    </row>
    <row r="916" spans="11:15" ht="12.5">
      <c r="K916" s="1" t="str">
        <v/>
      </c>
      <c r="M916" s="1" t="str">
        <f t="shared" si="279"/>
        <v/>
      </c>
      <c r="N916" s="15"/>
      <c r="O916" s="5" t="str">
        <f t="shared" si="280"/>
        <v/>
      </c>
    </row>
    <row r="917" spans="11:15" ht="12.5">
      <c r="K917" s="1" t="str">
        <v/>
      </c>
      <c r="M917" s="1" t="str">
        <f t="shared" si="279"/>
        <v/>
      </c>
      <c r="N917" s="15"/>
      <c r="O917" s="5" t="str">
        <f t="shared" si="280"/>
        <v/>
      </c>
    </row>
    <row r="918" spans="11:15" ht="12.5">
      <c r="K918" s="1" t="str">
        <v/>
      </c>
      <c r="M918" s="1" t="str">
        <f t="shared" si="279"/>
        <v/>
      </c>
      <c r="N918" s="15"/>
      <c r="O918" s="5" t="str">
        <f t="shared" si="280"/>
        <v/>
      </c>
    </row>
    <row r="919" spans="11:15" ht="12.5">
      <c r="K919" s="1" t="str">
        <v/>
      </c>
      <c r="M919" s="1" t="str">
        <f t="shared" si="279"/>
        <v/>
      </c>
      <c r="N919" s="15"/>
      <c r="O919" s="5" t="str">
        <f t="shared" si="280"/>
        <v/>
      </c>
    </row>
    <row r="920" spans="11:15" ht="12.5">
      <c r="K920" s="1" t="str">
        <v/>
      </c>
      <c r="M920" s="1" t="str">
        <f t="shared" si="279"/>
        <v/>
      </c>
      <c r="N920" s="15"/>
      <c r="O920" s="5" t="str">
        <f t="shared" si="280"/>
        <v/>
      </c>
    </row>
    <row r="921" spans="11:15" ht="12.5">
      <c r="K921" s="1" t="str">
        <v/>
      </c>
      <c r="M921" s="1" t="str">
        <f t="shared" si="279"/>
        <v/>
      </c>
      <c r="N921" s="15"/>
      <c r="O921" s="5" t="str">
        <f t="shared" si="280"/>
        <v/>
      </c>
    </row>
    <row r="922" spans="11:15" ht="12.5">
      <c r="K922" s="1" t="str">
        <v/>
      </c>
      <c r="M922" s="1" t="str">
        <f t="shared" si="279"/>
        <v/>
      </c>
      <c r="N922" s="15"/>
      <c r="O922" s="5" t="str">
        <f t="shared" si="280"/>
        <v/>
      </c>
    </row>
    <row r="923" spans="11:15" ht="12.5">
      <c r="K923" s="1" t="str">
        <v/>
      </c>
      <c r="M923" s="1" t="str">
        <f t="shared" si="279"/>
        <v/>
      </c>
      <c r="N923" s="15"/>
      <c r="O923" s="5" t="str">
        <f t="shared" si="280"/>
        <v/>
      </c>
    </row>
    <row r="924" spans="11:15" ht="12.5">
      <c r="K924" s="1" t="str">
        <v/>
      </c>
      <c r="M924" s="1" t="str">
        <f t="shared" si="279"/>
        <v/>
      </c>
      <c r="N924" s="15"/>
      <c r="O924" s="5" t="str">
        <f t="shared" si="280"/>
        <v/>
      </c>
    </row>
    <row r="925" spans="11:15" ht="12.5">
      <c r="K925" s="1" t="str">
        <v/>
      </c>
      <c r="M925" s="1" t="str">
        <f t="shared" si="279"/>
        <v/>
      </c>
      <c r="N925" s="15"/>
      <c r="O925" s="5" t="str">
        <f t="shared" si="280"/>
        <v/>
      </c>
    </row>
    <row r="926" spans="11:15" ht="12.5">
      <c r="K926" s="1" t="str">
        <v/>
      </c>
      <c r="M926" s="1" t="str">
        <f t="shared" si="279"/>
        <v/>
      </c>
      <c r="N926" s="15"/>
      <c r="O926" s="5" t="str">
        <f t="shared" si="280"/>
        <v/>
      </c>
    </row>
    <row r="927" spans="11:15" ht="12.5">
      <c r="K927" s="1" t="str">
        <v/>
      </c>
      <c r="M927" s="1" t="str">
        <f t="shared" si="279"/>
        <v/>
      </c>
      <c r="N927" s="15"/>
      <c r="O927" s="5" t="str">
        <f t="shared" si="280"/>
        <v/>
      </c>
    </row>
    <row r="928" spans="11:15" ht="12.5">
      <c r="K928" s="1" t="str">
        <v/>
      </c>
      <c r="M928" s="1" t="str">
        <f t="shared" si="279"/>
        <v/>
      </c>
      <c r="N928" s="15"/>
      <c r="O928" s="5" t="str">
        <f t="shared" si="280"/>
        <v/>
      </c>
    </row>
    <row r="929" spans="11:15" ht="12.5">
      <c r="K929" s="1" t="str">
        <v/>
      </c>
      <c r="M929" s="1" t="str">
        <f t="shared" si="279"/>
        <v/>
      </c>
      <c r="N929" s="15"/>
      <c r="O929" s="5" t="str">
        <f t="shared" si="280"/>
        <v/>
      </c>
    </row>
    <row r="930" spans="11:15" ht="12.5">
      <c r="K930" s="1" t="str">
        <v/>
      </c>
      <c r="M930" s="1" t="str">
        <f t="shared" si="279"/>
        <v/>
      </c>
      <c r="N930" s="15"/>
      <c r="O930" s="5" t="str">
        <f t="shared" si="280"/>
        <v/>
      </c>
    </row>
    <row r="931" spans="11:15" ht="12.5">
      <c r="K931" s="1" t="str">
        <v/>
      </c>
      <c r="M931" s="1" t="str">
        <f t="shared" si="279"/>
        <v/>
      </c>
      <c r="N931" s="15"/>
      <c r="O931" s="5" t="str">
        <f t="shared" si="280"/>
        <v/>
      </c>
    </row>
    <row r="932" spans="11:15" ht="12.5">
      <c r="K932" s="1" t="str">
        <v/>
      </c>
      <c r="M932" s="1" t="str">
        <f t="shared" si="279"/>
        <v/>
      </c>
      <c r="N932" s="15"/>
      <c r="O932" s="5" t="str">
        <f t="shared" si="280"/>
        <v/>
      </c>
    </row>
    <row r="933" spans="11:15" ht="12.5">
      <c r="K933" s="1" t="str">
        <v/>
      </c>
      <c r="M933" s="1" t="str">
        <f t="shared" si="279"/>
        <v/>
      </c>
      <c r="N933" s="15"/>
      <c r="O933" s="5" t="str">
        <f t="shared" si="280"/>
        <v/>
      </c>
    </row>
    <row r="934" spans="11:15" ht="12.5">
      <c r="K934" s="1" t="str">
        <v/>
      </c>
      <c r="M934" s="1" t="str">
        <f t="shared" si="279"/>
        <v/>
      </c>
      <c r="N934" s="15"/>
      <c r="O934" s="5" t="str">
        <f t="shared" si="280"/>
        <v/>
      </c>
    </row>
    <row r="935" spans="11:15" ht="12.5">
      <c r="K935" s="1" t="str">
        <v/>
      </c>
      <c r="M935" s="1" t="str">
        <f t="shared" si="279"/>
        <v/>
      </c>
      <c r="N935" s="15"/>
      <c r="O935" s="5" t="str">
        <f t="shared" si="280"/>
        <v/>
      </c>
    </row>
    <row r="936" spans="11:15" ht="12.5">
      <c r="K936" s="1" t="str">
        <v/>
      </c>
      <c r="M936" s="1" t="str">
        <f t="shared" si="279"/>
        <v/>
      </c>
      <c r="N936" s="15"/>
      <c r="O936" s="5" t="str">
        <f t="shared" si="280"/>
        <v/>
      </c>
    </row>
    <row r="937" spans="11:15" ht="12.5">
      <c r="K937" s="1" t="str">
        <v/>
      </c>
      <c r="M937" s="1" t="str">
        <f t="shared" si="279"/>
        <v/>
      </c>
      <c r="N937" s="15"/>
      <c r="O937" s="5" t="str">
        <f t="shared" si="280"/>
        <v/>
      </c>
    </row>
    <row r="938" spans="11:15" ht="12.5">
      <c r="K938" s="1" t="str">
        <v/>
      </c>
      <c r="M938" s="1" t="str">
        <f t="shared" si="279"/>
        <v/>
      </c>
      <c r="N938" s="15"/>
      <c r="O938" s="5" t="str">
        <f t="shared" si="280"/>
        <v/>
      </c>
    </row>
    <row r="939" spans="11:15" ht="12.5">
      <c r="K939" s="1" t="str">
        <v/>
      </c>
      <c r="M939" s="1" t="str">
        <f t="shared" si="279"/>
        <v/>
      </c>
      <c r="N939" s="15"/>
      <c r="O939" s="5" t="str">
        <f t="shared" si="280"/>
        <v/>
      </c>
    </row>
    <row r="940" spans="11:15" ht="12.5">
      <c r="K940" s="1" t="str">
        <v/>
      </c>
      <c r="M940" s="1" t="str">
        <f t="shared" si="279"/>
        <v/>
      </c>
      <c r="N940" s="15"/>
      <c r="O940" s="5" t="str">
        <f t="shared" si="280"/>
        <v/>
      </c>
    </row>
    <row r="941" spans="11:15" ht="12.5">
      <c r="K941" s="1" t="str">
        <v/>
      </c>
      <c r="M941" s="1" t="str">
        <f t="shared" si="279"/>
        <v/>
      </c>
      <c r="N941" s="15"/>
      <c r="O941" s="5" t="str">
        <f t="shared" si="280"/>
        <v/>
      </c>
    </row>
    <row r="942" spans="11:15" ht="12.5">
      <c r="K942" s="1" t="str">
        <v/>
      </c>
      <c r="M942" s="1" t="str">
        <f t="shared" si="279"/>
        <v/>
      </c>
      <c r="N942" s="15"/>
      <c r="O942" s="5" t="str">
        <f t="shared" si="280"/>
        <v/>
      </c>
    </row>
    <row r="943" spans="11:15" ht="12.5">
      <c r="K943" s="1" t="str">
        <v/>
      </c>
      <c r="M943" s="1" t="str">
        <f t="shared" si="279"/>
        <v/>
      </c>
      <c r="N943" s="15"/>
      <c r="O943" s="5" t="str">
        <f t="shared" si="280"/>
        <v/>
      </c>
    </row>
    <row r="944" spans="11:15" ht="12.5">
      <c r="K944" s="1" t="str">
        <v/>
      </c>
      <c r="M944" s="1" t="str">
        <f t="shared" si="279"/>
        <v/>
      </c>
      <c r="N944" s="15"/>
      <c r="O944" s="5" t="str">
        <f t="shared" si="280"/>
        <v/>
      </c>
    </row>
    <row r="945" spans="11:15" ht="12.5">
      <c r="K945" s="1" t="str">
        <v/>
      </c>
      <c r="M945" s="1" t="str">
        <f t="shared" si="279"/>
        <v/>
      </c>
      <c r="N945" s="15"/>
      <c r="O945" s="5" t="str">
        <f t="shared" si="280"/>
        <v/>
      </c>
    </row>
    <row r="946" spans="11:15" ht="12.5">
      <c r="K946" s="1" t="str">
        <v/>
      </c>
      <c r="M946" s="1" t="str">
        <f t="shared" si="279"/>
        <v/>
      </c>
      <c r="N946" s="15"/>
      <c r="O946" s="5" t="str">
        <f t="shared" si="280"/>
        <v/>
      </c>
    </row>
    <row r="947" spans="11:15" ht="12.5">
      <c r="K947" s="1" t="str">
        <v/>
      </c>
      <c r="M947" s="1" t="str">
        <f t="shared" si="279"/>
        <v/>
      </c>
      <c r="N947" s="15"/>
      <c r="O947" s="5" t="str">
        <f t="shared" si="280"/>
        <v/>
      </c>
    </row>
    <row r="948" spans="11:15" ht="12.5">
      <c r="K948" s="1" t="str">
        <v/>
      </c>
      <c r="M948" s="1" t="str">
        <f t="shared" si="279"/>
        <v/>
      </c>
      <c r="N948" s="15"/>
      <c r="O948" s="5" t="str">
        <f t="shared" si="280"/>
        <v/>
      </c>
    </row>
    <row r="949" spans="11:15" ht="12.5">
      <c r="K949" s="1" t="str">
        <v/>
      </c>
      <c r="M949" s="1" t="str">
        <f t="shared" si="279"/>
        <v/>
      </c>
      <c r="N949" s="15"/>
      <c r="O949" s="5" t="str">
        <f t="shared" si="280"/>
        <v/>
      </c>
    </row>
    <row r="950" spans="11:15" ht="12.5">
      <c r="K950" s="1" t="str">
        <v/>
      </c>
      <c r="M950" s="1" t="str">
        <f t="shared" si="279"/>
        <v/>
      </c>
      <c r="N950" s="15"/>
      <c r="O950" s="5" t="str">
        <f t="shared" si="280"/>
        <v/>
      </c>
    </row>
    <row r="951" spans="11:15" ht="12.5">
      <c r="K951" s="1" t="str">
        <v/>
      </c>
      <c r="M951" s="1" t="str">
        <f t="shared" si="279"/>
        <v/>
      </c>
      <c r="N951" s="15"/>
      <c r="O951" s="5" t="str">
        <f t="shared" si="280"/>
        <v/>
      </c>
    </row>
    <row r="952" spans="11:15" ht="12.5">
      <c r="K952" s="1" t="str">
        <v/>
      </c>
      <c r="M952" s="1" t="str">
        <f t="shared" si="279"/>
        <v/>
      </c>
      <c r="N952" s="15"/>
      <c r="O952" s="5" t="str">
        <f t="shared" si="280"/>
        <v/>
      </c>
    </row>
    <row r="953" spans="11:15" ht="12.5">
      <c r="K953" s="1" t="str">
        <v/>
      </c>
      <c r="M953" s="1" t="str">
        <f t="shared" si="279"/>
        <v/>
      </c>
      <c r="N953" s="15"/>
      <c r="O953" s="5" t="str">
        <f t="shared" si="280"/>
        <v/>
      </c>
    </row>
    <row r="954" spans="11:15" ht="12.5">
      <c r="K954" s="1" t="str">
        <v/>
      </c>
      <c r="M954" s="1" t="str">
        <f t="shared" si="279"/>
        <v/>
      </c>
      <c r="N954" s="15"/>
      <c r="O954" s="5" t="str">
        <f t="shared" si="280"/>
        <v/>
      </c>
    </row>
    <row r="955" spans="11:15" ht="12.5">
      <c r="K955" s="1" t="str">
        <v/>
      </c>
      <c r="M955" s="1" t="str">
        <f t="shared" si="279"/>
        <v/>
      </c>
      <c r="N955" s="15"/>
      <c r="O955" s="5" t="str">
        <f t="shared" si="280"/>
        <v/>
      </c>
    </row>
    <row r="956" spans="11:15" ht="12.5">
      <c r="K956" s="1" t="str">
        <v/>
      </c>
      <c r="M956" s="1" t="str">
        <f t="shared" si="279"/>
        <v/>
      </c>
      <c r="N956" s="15"/>
      <c r="O956" s="5" t="str">
        <f t="shared" si="280"/>
        <v/>
      </c>
    </row>
    <row r="957" spans="11:15" ht="12.5">
      <c r="K957" s="1" t="str">
        <v/>
      </c>
      <c r="M957" s="1" t="str">
        <f t="shared" si="279"/>
        <v/>
      </c>
      <c r="N957" s="15"/>
      <c r="O957" s="5" t="str">
        <f t="shared" si="280"/>
        <v/>
      </c>
    </row>
    <row r="958" spans="11:15" ht="12.5">
      <c r="K958" s="1" t="str">
        <v/>
      </c>
      <c r="M958" s="1" t="str">
        <f t="shared" si="279"/>
        <v/>
      </c>
      <c r="N958" s="15"/>
      <c r="O958" s="5" t="str">
        <f t="shared" si="280"/>
        <v/>
      </c>
    </row>
    <row r="959" spans="11:15" ht="12.5">
      <c r="K959" s="1" t="str">
        <v/>
      </c>
      <c r="M959" s="1" t="str">
        <f t="shared" si="279"/>
        <v/>
      </c>
      <c r="N959" s="15"/>
      <c r="O959" s="5" t="str">
        <f t="shared" si="280"/>
        <v/>
      </c>
    </row>
    <row r="960" spans="11:15" ht="12.5">
      <c r="K960" s="1" t="str">
        <v/>
      </c>
      <c r="M960" s="1" t="str">
        <f t="shared" si="279"/>
        <v/>
      </c>
      <c r="N960" s="15"/>
      <c r="O960" s="5" t="str">
        <f t="shared" si="280"/>
        <v/>
      </c>
    </row>
    <row r="961" spans="11:15" ht="12.5">
      <c r="K961" s="1" t="str">
        <v/>
      </c>
      <c r="M961" s="1" t="str">
        <f t="shared" si="279"/>
        <v/>
      </c>
      <c r="N961" s="15"/>
      <c r="O961" s="5" t="str">
        <f t="shared" si="280"/>
        <v/>
      </c>
    </row>
    <row r="962" spans="11:15" ht="12.5">
      <c r="K962" s="1" t="str">
        <v/>
      </c>
      <c r="M962" s="1" t="str">
        <f t="shared" si="279"/>
        <v/>
      </c>
      <c r="N962" s="15"/>
      <c r="O962" s="5" t="str">
        <f t="shared" si="280"/>
        <v/>
      </c>
    </row>
    <row r="963" spans="11:15" ht="12.5">
      <c r="K963" s="1" t="str">
        <v/>
      </c>
      <c r="M963" s="1" t="str">
        <f t="shared" ref="M963:M998" si="281">IF(G963="","",IF(LOWER(TRIM(G963))="north america","North America",IF(LOWER(TRIM(G963))="emea","EMEA",IF(LOWER(TRIM(G963))="apac","APAC",IF(LOWER(TRIM(G963))="latam","LATAM",TRIM(G963))))))</f>
        <v/>
      </c>
      <c r="N963" s="15"/>
      <c r="O963" s="5" t="str">
        <f t="shared" ref="O963:O998" si="282">IF(OR(H963="",N963=""),"",H963*N963)</f>
        <v/>
      </c>
    </row>
    <row r="964" spans="11:15" ht="12.5">
      <c r="K964" s="1" t="str">
        <v/>
      </c>
      <c r="M964" s="1" t="str">
        <f t="shared" si="281"/>
        <v/>
      </c>
      <c r="N964" s="15"/>
      <c r="O964" s="5" t="str">
        <f t="shared" si="282"/>
        <v/>
      </c>
    </row>
    <row r="965" spans="11:15" ht="12.5">
      <c r="K965" s="1" t="str">
        <v/>
      </c>
      <c r="M965" s="1" t="str">
        <f t="shared" si="281"/>
        <v/>
      </c>
      <c r="N965" s="15"/>
      <c r="O965" s="5" t="str">
        <f t="shared" si="282"/>
        <v/>
      </c>
    </row>
    <row r="966" spans="11:15" ht="12.5">
      <c r="K966" s="1" t="str">
        <v/>
      </c>
      <c r="M966" s="1" t="str">
        <f t="shared" si="281"/>
        <v/>
      </c>
      <c r="N966" s="15"/>
      <c r="O966" s="5" t="str">
        <f t="shared" si="282"/>
        <v/>
      </c>
    </row>
    <row r="967" spans="11:15" ht="12.5">
      <c r="K967" s="1" t="str">
        <v/>
      </c>
      <c r="M967" s="1" t="str">
        <f t="shared" si="281"/>
        <v/>
      </c>
      <c r="N967" s="15"/>
      <c r="O967" s="5" t="str">
        <f t="shared" si="282"/>
        <v/>
      </c>
    </row>
    <row r="968" spans="11:15" ht="12.5">
      <c r="K968" s="1" t="str">
        <v/>
      </c>
      <c r="M968" s="1" t="str">
        <f t="shared" si="281"/>
        <v/>
      </c>
      <c r="N968" s="15"/>
      <c r="O968" s="5" t="str">
        <f t="shared" si="282"/>
        <v/>
      </c>
    </row>
    <row r="969" spans="11:15" ht="12.5">
      <c r="K969" s="1" t="str">
        <v/>
      </c>
      <c r="M969" s="1" t="str">
        <f t="shared" si="281"/>
        <v/>
      </c>
      <c r="N969" s="15"/>
      <c r="O969" s="5" t="str">
        <f t="shared" si="282"/>
        <v/>
      </c>
    </row>
    <row r="970" spans="11:15" ht="12.5">
      <c r="K970" s="1" t="str">
        <v/>
      </c>
      <c r="M970" s="1" t="str">
        <f t="shared" si="281"/>
        <v/>
      </c>
      <c r="N970" s="15"/>
      <c r="O970" s="5" t="str">
        <f t="shared" si="282"/>
        <v/>
      </c>
    </row>
    <row r="971" spans="11:15" ht="12.5">
      <c r="K971" s="1" t="str">
        <v/>
      </c>
      <c r="M971" s="1" t="str">
        <f t="shared" si="281"/>
        <v/>
      </c>
      <c r="N971" s="15"/>
      <c r="O971" s="5" t="str">
        <f t="shared" si="282"/>
        <v/>
      </c>
    </row>
    <row r="972" spans="11:15" ht="12.5">
      <c r="K972" s="1" t="str">
        <v/>
      </c>
      <c r="M972" s="1" t="str">
        <f t="shared" si="281"/>
        <v/>
      </c>
      <c r="N972" s="15"/>
      <c r="O972" s="5" t="str">
        <f t="shared" si="282"/>
        <v/>
      </c>
    </row>
    <row r="973" spans="11:15" ht="12.5">
      <c r="K973" s="1" t="str">
        <v/>
      </c>
      <c r="M973" s="1" t="str">
        <f t="shared" si="281"/>
        <v/>
      </c>
      <c r="N973" s="15"/>
      <c r="O973" s="5" t="str">
        <f t="shared" si="282"/>
        <v/>
      </c>
    </row>
    <row r="974" spans="11:15" ht="12.5">
      <c r="K974" s="1" t="str">
        <v/>
      </c>
      <c r="M974" s="1" t="str">
        <f t="shared" si="281"/>
        <v/>
      </c>
      <c r="N974" s="15"/>
      <c r="O974" s="5" t="str">
        <f t="shared" si="282"/>
        <v/>
      </c>
    </row>
    <row r="975" spans="11:15" ht="12.5">
      <c r="K975" s="1" t="str">
        <v/>
      </c>
      <c r="M975" s="1" t="str">
        <f t="shared" si="281"/>
        <v/>
      </c>
      <c r="N975" s="15"/>
      <c r="O975" s="5" t="str">
        <f t="shared" si="282"/>
        <v/>
      </c>
    </row>
    <row r="976" spans="11:15" ht="12.5">
      <c r="K976" s="1" t="str">
        <v/>
      </c>
      <c r="M976" s="1" t="str">
        <f t="shared" si="281"/>
        <v/>
      </c>
      <c r="N976" s="15"/>
      <c r="O976" s="5" t="str">
        <f t="shared" si="282"/>
        <v/>
      </c>
    </row>
    <row r="977" spans="11:15" ht="12.5">
      <c r="K977" s="1" t="str">
        <v/>
      </c>
      <c r="M977" s="1" t="str">
        <f t="shared" si="281"/>
        <v/>
      </c>
      <c r="N977" s="15"/>
      <c r="O977" s="5" t="str">
        <f t="shared" si="282"/>
        <v/>
      </c>
    </row>
    <row r="978" spans="11:15" ht="12.5">
      <c r="K978" s="1" t="str">
        <v/>
      </c>
      <c r="M978" s="1" t="str">
        <f t="shared" si="281"/>
        <v/>
      </c>
      <c r="N978" s="15"/>
      <c r="O978" s="5" t="str">
        <f t="shared" si="282"/>
        <v/>
      </c>
    </row>
    <row r="979" spans="11:15" ht="12.5">
      <c r="K979" s="1" t="str">
        <v/>
      </c>
      <c r="M979" s="1" t="str">
        <f t="shared" si="281"/>
        <v/>
      </c>
      <c r="N979" s="15"/>
      <c r="O979" s="5" t="str">
        <f t="shared" si="282"/>
        <v/>
      </c>
    </row>
    <row r="980" spans="11:15" ht="12.5">
      <c r="K980" s="1" t="str">
        <v/>
      </c>
      <c r="M980" s="1" t="str">
        <f t="shared" si="281"/>
        <v/>
      </c>
      <c r="N980" s="15"/>
      <c r="O980" s="5" t="str">
        <f t="shared" si="282"/>
        <v/>
      </c>
    </row>
    <row r="981" spans="11:15" ht="12.5">
      <c r="K981" s="1" t="str">
        <v/>
      </c>
      <c r="M981" s="1" t="str">
        <f t="shared" si="281"/>
        <v/>
      </c>
      <c r="N981" s="15"/>
      <c r="O981" s="5" t="str">
        <f t="shared" si="282"/>
        <v/>
      </c>
    </row>
    <row r="982" spans="11:15" ht="12.5">
      <c r="K982" s="1" t="str">
        <v/>
      </c>
      <c r="M982" s="1" t="str">
        <f t="shared" si="281"/>
        <v/>
      </c>
      <c r="N982" s="15"/>
      <c r="O982" s="5" t="str">
        <f t="shared" si="282"/>
        <v/>
      </c>
    </row>
    <row r="983" spans="11:15" ht="12.5">
      <c r="K983" s="1" t="str">
        <v/>
      </c>
      <c r="M983" s="1" t="str">
        <f t="shared" si="281"/>
        <v/>
      </c>
      <c r="N983" s="15"/>
      <c r="O983" s="5" t="str">
        <f t="shared" si="282"/>
        <v/>
      </c>
    </row>
    <row r="984" spans="11:15" ht="12.5">
      <c r="K984" s="1" t="str">
        <v/>
      </c>
      <c r="M984" s="1" t="str">
        <f t="shared" si="281"/>
        <v/>
      </c>
      <c r="N984" s="15"/>
      <c r="O984" s="5" t="str">
        <f t="shared" si="282"/>
        <v/>
      </c>
    </row>
    <row r="985" spans="11:15" ht="12.5">
      <c r="K985" s="1" t="str">
        <v/>
      </c>
      <c r="M985" s="1" t="str">
        <f t="shared" si="281"/>
        <v/>
      </c>
      <c r="N985" s="15"/>
      <c r="O985" s="5" t="str">
        <f t="shared" si="282"/>
        <v/>
      </c>
    </row>
    <row r="986" spans="11:15" ht="12.5">
      <c r="K986" s="1" t="str">
        <v/>
      </c>
      <c r="M986" s="1" t="str">
        <f t="shared" si="281"/>
        <v/>
      </c>
      <c r="N986" s="15"/>
      <c r="O986" s="5" t="str">
        <f t="shared" si="282"/>
        <v/>
      </c>
    </row>
    <row r="987" spans="11:15" ht="12.5">
      <c r="K987" s="1" t="str">
        <v/>
      </c>
      <c r="M987" s="1" t="str">
        <f t="shared" si="281"/>
        <v/>
      </c>
      <c r="N987" s="15"/>
      <c r="O987" s="5" t="str">
        <f t="shared" si="282"/>
        <v/>
      </c>
    </row>
    <row r="988" spans="11:15" ht="12.5">
      <c r="K988" s="1" t="str">
        <v/>
      </c>
      <c r="M988" s="1" t="str">
        <f t="shared" si="281"/>
        <v/>
      </c>
      <c r="N988" s="15"/>
      <c r="O988" s="5" t="str">
        <f t="shared" si="282"/>
        <v/>
      </c>
    </row>
    <row r="989" spans="11:15" ht="12.5">
      <c r="K989" s="1" t="str">
        <v/>
      </c>
      <c r="M989" s="1" t="str">
        <f t="shared" si="281"/>
        <v/>
      </c>
      <c r="N989" s="15"/>
      <c r="O989" s="5" t="str">
        <f t="shared" si="282"/>
        <v/>
      </c>
    </row>
    <row r="990" spans="11:15" ht="12.5">
      <c r="K990" s="1" t="str">
        <v/>
      </c>
      <c r="M990" s="1" t="str">
        <f t="shared" si="281"/>
        <v/>
      </c>
      <c r="N990" s="15"/>
      <c r="O990" s="5" t="str">
        <f t="shared" si="282"/>
        <v/>
      </c>
    </row>
    <row r="991" spans="11:15" ht="12.5">
      <c r="K991" s="1" t="str">
        <v/>
      </c>
      <c r="M991" s="1" t="str">
        <f t="shared" si="281"/>
        <v/>
      </c>
      <c r="N991" s="15"/>
      <c r="O991" s="5" t="str">
        <f t="shared" si="282"/>
        <v/>
      </c>
    </row>
    <row r="992" spans="11:15" ht="12.5">
      <c r="K992" s="1" t="str">
        <v/>
      </c>
      <c r="M992" s="1" t="str">
        <f t="shared" si="281"/>
        <v/>
      </c>
      <c r="N992" s="15"/>
      <c r="O992" s="5" t="str">
        <f t="shared" si="282"/>
        <v/>
      </c>
    </row>
    <row r="993" spans="11:15" ht="12.5">
      <c r="K993" s="1" t="str">
        <v/>
      </c>
      <c r="M993" s="1" t="str">
        <f t="shared" si="281"/>
        <v/>
      </c>
      <c r="N993" s="15"/>
      <c r="O993" s="5" t="str">
        <f t="shared" si="282"/>
        <v/>
      </c>
    </row>
    <row r="994" spans="11:15" ht="12.5">
      <c r="K994" s="1" t="str">
        <v/>
      </c>
      <c r="M994" s="1" t="str">
        <f t="shared" si="281"/>
        <v/>
      </c>
      <c r="N994" s="15"/>
      <c r="O994" s="5" t="str">
        <f t="shared" si="282"/>
        <v/>
      </c>
    </row>
    <row r="995" spans="11:15" ht="12.5">
      <c r="K995" s="1" t="str">
        <v/>
      </c>
      <c r="M995" s="1" t="str">
        <f t="shared" si="281"/>
        <v/>
      </c>
      <c r="N995" s="15"/>
      <c r="O995" s="5" t="str">
        <f t="shared" si="282"/>
        <v/>
      </c>
    </row>
    <row r="996" spans="11:15" ht="12.5">
      <c r="K996" s="1" t="str">
        <v/>
      </c>
      <c r="M996" s="1" t="str">
        <f t="shared" si="281"/>
        <v/>
      </c>
      <c r="N996" s="15"/>
      <c r="O996" s="5" t="str">
        <f t="shared" si="282"/>
        <v/>
      </c>
    </row>
    <row r="997" spans="11:15" ht="12.5">
      <c r="K997" s="1" t="str">
        <v/>
      </c>
      <c r="M997" s="1" t="str">
        <f t="shared" si="281"/>
        <v/>
      </c>
      <c r="N997" s="15"/>
      <c r="O997" s="5" t="str">
        <f t="shared" si="282"/>
        <v/>
      </c>
    </row>
    <row r="998" spans="11:15" ht="12.5">
      <c r="K998" s="1" t="str">
        <v/>
      </c>
      <c r="M998" s="1" t="str">
        <f t="shared" si="281"/>
        <v/>
      </c>
      <c r="N998" s="15"/>
      <c r="O998" s="5" t="str">
        <f t="shared" si="282"/>
        <v/>
      </c>
    </row>
  </sheetData>
  <autoFilter ref="A1:O252" xr:uid="{00000000-0009-0000-0000-000001000000}"/>
  <mergeCells count="1">
    <mergeCell ref="Q4:S9"/>
  </mergeCells>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38"/>
  <sheetViews>
    <sheetView tabSelected="1" zoomScale="130" zoomScaleNormal="130" workbookViewId="0">
      <selection activeCell="J99" sqref="J99:J349"/>
    </sheetView>
  </sheetViews>
  <sheetFormatPr baseColWidth="10" defaultColWidth="12.6328125" defaultRowHeight="15.75" customHeight="1"/>
  <cols>
    <col min="1" max="1" width="19.6328125" customWidth="1"/>
    <col min="2" max="2" width="23.6328125" customWidth="1"/>
    <col min="3" max="3" width="15.453125" bestFit="1" customWidth="1"/>
    <col min="4" max="4" width="19.36328125" bestFit="1" customWidth="1"/>
    <col min="5" max="5" width="14.6328125" bestFit="1" customWidth="1"/>
    <col min="6" max="6" width="19.36328125" bestFit="1" customWidth="1"/>
    <col min="7" max="7" width="16.6328125" bestFit="1" customWidth="1"/>
    <col min="8" max="8" width="7" bestFit="1" customWidth="1"/>
    <col min="9" max="9" width="10.1796875" bestFit="1" customWidth="1"/>
    <col min="10" max="10" width="10" bestFit="1" customWidth="1"/>
    <col min="11" max="11" width="19" customWidth="1"/>
    <col min="13" max="13" width="31.7265625" customWidth="1"/>
  </cols>
  <sheetData>
    <row r="1" spans="1:5" ht="19">
      <c r="A1" s="51" t="s">
        <v>1</v>
      </c>
      <c r="B1" s="43"/>
      <c r="C1" s="43"/>
      <c r="D1" s="43"/>
      <c r="E1" s="1"/>
    </row>
    <row r="2" spans="1:5" ht="12.5">
      <c r="E2" s="1"/>
    </row>
    <row r="3" spans="1:5" ht="13">
      <c r="A3" s="47" t="s">
        <v>16</v>
      </c>
      <c r="B3" s="46"/>
      <c r="C3" s="40"/>
      <c r="D3" s="7">
        <f>COUNTA(A100:A1038)</f>
        <v>264</v>
      </c>
      <c r="E3" s="1"/>
    </row>
    <row r="4" spans="1:5" ht="13">
      <c r="A4" s="47" t="s">
        <v>77</v>
      </c>
      <c r="B4" s="46"/>
      <c r="C4" s="40"/>
      <c r="D4" s="8">
        <f>SUM(J100:J349)</f>
        <v>364634.5500000001</v>
      </c>
      <c r="E4" s="1"/>
    </row>
    <row r="5" spans="1:5" ht="13">
      <c r="A5" s="47" t="s">
        <v>95</v>
      </c>
      <c r="B5" s="46"/>
      <c r="C5" s="40"/>
      <c r="D5" s="8">
        <f>AVERAGE(J100:J349)</f>
        <v>1458.5382000000004</v>
      </c>
      <c r="E5" s="1"/>
    </row>
    <row r="6" spans="1:5" ht="13">
      <c r="A6" s="47" t="s">
        <v>108</v>
      </c>
      <c r="B6" s="46"/>
      <c r="C6" s="40"/>
      <c r="D6" s="8">
        <f>MEDIAN(J100:J349)</f>
        <v>386.76</v>
      </c>
      <c r="E6" s="1"/>
    </row>
    <row r="7" spans="1:5" ht="15.75" customHeight="1">
      <c r="A7" s="47" t="s">
        <v>118</v>
      </c>
      <c r="B7" s="46"/>
      <c r="C7" s="40"/>
      <c r="D7" s="8">
        <f>MIN(J99:J342)</f>
        <v>41.17</v>
      </c>
      <c r="E7" s="1"/>
    </row>
    <row r="8" spans="1:5" ht="13">
      <c r="A8" s="47" t="s">
        <v>131</v>
      </c>
      <c r="B8" s="46"/>
      <c r="C8" s="40"/>
      <c r="D8" s="8">
        <f>MAX(J99:J342)</f>
        <v>46616</v>
      </c>
      <c r="E8" s="1"/>
    </row>
    <row r="9" spans="1:5" ht="13">
      <c r="A9" s="47" t="s">
        <v>143</v>
      </c>
      <c r="B9" s="46"/>
      <c r="C9" s="40"/>
      <c r="D9" s="8">
        <f>MAX(J99:J342)-MIN(J99:J342)</f>
        <v>46574.83</v>
      </c>
      <c r="E9" s="1"/>
    </row>
    <row r="10" spans="1:5" ht="13">
      <c r="A10" s="47" t="s">
        <v>155</v>
      </c>
      <c r="B10" s="46"/>
      <c r="C10" s="40"/>
      <c r="D10" s="8">
        <f>STDEV(J99:J349)</f>
        <v>4165.1839157259383</v>
      </c>
      <c r="E10" s="1"/>
    </row>
    <row r="11" spans="1:5" ht="13">
      <c r="A11" s="47" t="s">
        <v>167</v>
      </c>
      <c r="B11" s="46"/>
      <c r="C11" s="40"/>
      <c r="D11" s="8">
        <f>QUARTILE(J99:J342,1)</f>
        <v>131.39499999999998</v>
      </c>
      <c r="E11" s="1"/>
    </row>
    <row r="12" spans="1:5" ht="13">
      <c r="A12" s="47" t="s">
        <v>176</v>
      </c>
      <c r="B12" s="46"/>
      <c r="C12" s="40"/>
      <c r="D12" s="8">
        <f>QUARTILE(J99:J342,3)</f>
        <v>994.38</v>
      </c>
      <c r="E12" s="1"/>
    </row>
    <row r="13" spans="1:5" ht="12.5">
      <c r="E13" s="1"/>
    </row>
    <row r="14" spans="1:5" ht="12.5">
      <c r="A14" s="48" t="s">
        <v>193</v>
      </c>
      <c r="B14" s="43"/>
      <c r="C14" s="43"/>
      <c r="D14" s="43"/>
      <c r="E14" s="1"/>
    </row>
    <row r="15" spans="1:5" ht="12.5">
      <c r="E15" s="1"/>
    </row>
    <row r="16" spans="1:5" ht="12.5">
      <c r="A16" s="48" t="s">
        <v>201</v>
      </c>
      <c r="B16" s="43"/>
      <c r="C16" s="43"/>
      <c r="D16" s="43"/>
      <c r="E16" s="1"/>
    </row>
    <row r="17" spans="1:8" ht="12.5">
      <c r="E17" s="1"/>
    </row>
    <row r="18" spans="1:8" ht="12.5">
      <c r="E18" s="1"/>
    </row>
    <row r="19" spans="1:8" ht="16.5">
      <c r="A19" s="49" t="s">
        <v>207</v>
      </c>
      <c r="B19" s="43"/>
      <c r="C19" s="43"/>
      <c r="D19" s="43"/>
      <c r="E19" s="43"/>
      <c r="F19" s="43"/>
      <c r="G19" s="43"/>
    </row>
    <row r="20" spans="1:8" ht="14">
      <c r="A20" s="12"/>
      <c r="B20" s="50" t="s">
        <v>216</v>
      </c>
      <c r="C20" s="46"/>
      <c r="D20" s="46"/>
      <c r="E20" s="46"/>
      <c r="F20" s="46"/>
      <c r="G20" s="40"/>
    </row>
    <row r="21" spans="1:8" ht="13">
      <c r="A21" s="13" t="s">
        <v>223</v>
      </c>
      <c r="B21" s="14" t="str" cm="1">
        <f t="array" ref="B21:G21">TRANSPOSE(_xlfn.UNIQUE(_xlfn._xlws.FILTER(D100:D1038,D100:D1038&lt;&gt;"")))</f>
        <v>Starter Plan</v>
      </c>
      <c r="C21" s="14" t="str">
        <v>Pro Plan</v>
      </c>
      <c r="D21" s="14" t="str">
        <v>Enterprise Plan</v>
      </c>
      <c r="E21" s="14" t="str">
        <v>Business Plan</v>
      </c>
      <c r="F21" s="14" t="str">
        <v>Add-on: Support</v>
      </c>
      <c r="G21" s="14" t="str">
        <v>Add-on: Analytics</v>
      </c>
      <c r="H21" s="1"/>
    </row>
    <row r="22" spans="1:8" ht="12.5">
      <c r="A22" s="16" t="str" cm="1">
        <f t="array" ref="A22:A33">_xlfn.UNIQUE(_xlfn._xlws.FILTER(E100:E1038,E100:E1038&lt;&gt;""))</f>
        <v>Priya Patel</v>
      </c>
      <c r="B22" s="16">
        <f>IF(COUNTIFS($E$100:$E$1038,$A22,$D$100:$D$1038,B$21)=0,"keine Daten vorhanden",SUMIFS($J$100:$J$1038,$E$100:$E$1038,$A22,$D$100:$D$1038,B$21))</f>
        <v>425.02000000000004</v>
      </c>
      <c r="C22" s="16">
        <f>IF(COUNTIFS($E$100:$E$1038,$A22,$D$100:$D$1038,C$21)=0,"keine Daten vorhanden",SUMIFS($J$100:$J$1038,$E$100:$E$1038,$A22,$D$100:$D$1038,C$21))</f>
        <v>3380.6400000000003</v>
      </c>
      <c r="D22" s="16">
        <f>IF(COUNTIFS($E$100:$E$1038,$A22,$D$100:$D$1038,D$21)=0,"keine Daten vorhanden",SUMIFS($J$100:$J$1038,$E$100:$E$1038,$A22,$D$100:$D$1038,D$21))</f>
        <v>2728.4700000000003</v>
      </c>
      <c r="E22" s="16">
        <f>IF(COUNTIFS($E$100:$E$1038,$A22,$D$100:$D$1038,E$21)=0,"keine Daten vorhanden",SUMIFS($J$100:$J$1038,$E$100:$E$1038,$A22,$D$100:$D$1038,E$21))</f>
        <v>1377.55</v>
      </c>
      <c r="F22" s="16">
        <f>IF(COUNTIFS($E$100:$E$1038,$A22,$D$100:$D$1038,F$21)=0,"keine Daten vorhanden",SUMIFS($J$100:$J$1038,$E$100:$E$1038,$A22,$D$100:$D$1038,F$21))</f>
        <v>1882.42</v>
      </c>
      <c r="G22" s="16">
        <f>IF(COUNTIFS($E$100:$E$1038,$A22,$D$100:$D$1038,G$21)=0,"keine Daten vorhanden",SUMIFS($J$100:$J$1038,$E$100:$E$1038,$A22,$D$100:$D$1038,G$21))</f>
        <v>515.5</v>
      </c>
    </row>
    <row r="23" spans="1:8" ht="12.5">
      <c r="A23" s="16" t="str">
        <v>David Kim</v>
      </c>
      <c r="B23" s="16">
        <f t="shared" ref="B23:G33" si="0">IF(COUNTIFS($E$100:$E$1038,$A23,$D$100:$D$1038,B$21)=0,"keine Daten vorhanden",SUMIFS($J$100:$J$1038,$E$100:$E$1038,$A23,$D$100:$D$1038,B$21))</f>
        <v>2509.9899999999998</v>
      </c>
      <c r="C23" s="16">
        <f t="shared" si="0"/>
        <v>6607.08</v>
      </c>
      <c r="D23" s="16">
        <f t="shared" si="0"/>
        <v>26430.16</v>
      </c>
      <c r="E23" s="16">
        <f t="shared" si="0"/>
        <v>3858.23</v>
      </c>
      <c r="F23" s="16" t="str">
        <f t="shared" si="0"/>
        <v>keine Daten vorhanden</v>
      </c>
      <c r="G23" s="16">
        <f t="shared" si="0"/>
        <v>1647.13</v>
      </c>
    </row>
    <row r="24" spans="1:8" ht="12.5">
      <c r="A24" s="16" t="str">
        <v>Carlos Mendez</v>
      </c>
      <c r="B24" s="16">
        <f t="shared" si="0"/>
        <v>4610.26</v>
      </c>
      <c r="C24" s="16">
        <f t="shared" si="0"/>
        <v>3745.67</v>
      </c>
      <c r="D24" s="16">
        <f t="shared" si="0"/>
        <v>15653.269999999999</v>
      </c>
      <c r="E24" s="16">
        <f t="shared" si="0"/>
        <v>403.84</v>
      </c>
      <c r="F24" s="16">
        <f t="shared" si="0"/>
        <v>114.94</v>
      </c>
      <c r="G24" s="16">
        <f t="shared" si="0"/>
        <v>183.21</v>
      </c>
    </row>
    <row r="25" spans="1:8" ht="12.5">
      <c r="A25" s="16" t="str">
        <v>Aisha Hassan</v>
      </c>
      <c r="B25" s="16">
        <f t="shared" si="0"/>
        <v>1173.9299999999998</v>
      </c>
      <c r="C25" s="16">
        <f t="shared" si="0"/>
        <v>15262.839999999998</v>
      </c>
      <c r="D25" s="16">
        <f t="shared" si="0"/>
        <v>12153.999999999998</v>
      </c>
      <c r="E25" s="16">
        <f t="shared" si="0"/>
        <v>4427.08</v>
      </c>
      <c r="F25" s="16">
        <f t="shared" si="0"/>
        <v>249.04</v>
      </c>
      <c r="G25" s="16">
        <f t="shared" si="0"/>
        <v>604.26</v>
      </c>
    </row>
    <row r="26" spans="1:8" ht="12.5">
      <c r="A26" s="16" t="str">
        <v>Elena Rossi</v>
      </c>
      <c r="B26" s="16">
        <f t="shared" si="0"/>
        <v>3973.3999999999996</v>
      </c>
      <c r="C26" s="16">
        <f t="shared" si="0"/>
        <v>996.5</v>
      </c>
      <c r="D26" s="16">
        <f t="shared" si="0"/>
        <v>4503.3999999999996</v>
      </c>
      <c r="E26" s="16">
        <f t="shared" si="0"/>
        <v>10192.24</v>
      </c>
      <c r="F26" s="16">
        <f t="shared" si="0"/>
        <v>198.53</v>
      </c>
      <c r="G26" s="16">
        <f t="shared" si="0"/>
        <v>373.45</v>
      </c>
    </row>
    <row r="27" spans="1:8" ht="12.5">
      <c r="A27" s="16" t="str">
        <v>Nina Petrov</v>
      </c>
      <c r="B27" s="16">
        <f t="shared" si="0"/>
        <v>1107.58</v>
      </c>
      <c r="C27" s="16">
        <f t="shared" si="0"/>
        <v>14152.34</v>
      </c>
      <c r="D27" s="16">
        <f t="shared" si="0"/>
        <v>47925.46</v>
      </c>
      <c r="E27" s="16">
        <f t="shared" si="0"/>
        <v>1199.5999999999999</v>
      </c>
      <c r="F27" s="16">
        <f t="shared" si="0"/>
        <v>294.63</v>
      </c>
      <c r="G27" s="16">
        <f t="shared" si="0"/>
        <v>95.13</v>
      </c>
    </row>
    <row r="28" spans="1:8" ht="12.5">
      <c r="A28" s="16" t="str">
        <v>Tom Wilson</v>
      </c>
      <c r="B28" s="16">
        <f t="shared" si="0"/>
        <v>1406.8899999999999</v>
      </c>
      <c r="C28" s="16">
        <f t="shared" si="0"/>
        <v>10276.16</v>
      </c>
      <c r="D28" s="16">
        <f t="shared" si="0"/>
        <v>1227.17</v>
      </c>
      <c r="E28" s="16">
        <f t="shared" si="0"/>
        <v>1335.01</v>
      </c>
      <c r="F28" s="16">
        <f t="shared" si="0"/>
        <v>330.86</v>
      </c>
      <c r="G28" s="16">
        <f t="shared" si="0"/>
        <v>825.73</v>
      </c>
    </row>
    <row r="29" spans="1:8" ht="12.5">
      <c r="A29" s="16" t="str">
        <v>Marcus Johnson</v>
      </c>
      <c r="B29" s="16">
        <f t="shared" si="0"/>
        <v>747.95</v>
      </c>
      <c r="C29" s="16">
        <f t="shared" si="0"/>
        <v>8780.2199999999993</v>
      </c>
      <c r="D29" s="16">
        <f t="shared" si="0"/>
        <v>56800.240000000005</v>
      </c>
      <c r="E29" s="16">
        <f t="shared" si="0"/>
        <v>10763.029999999999</v>
      </c>
      <c r="F29" s="16">
        <f t="shared" si="0"/>
        <v>1163.9699999999998</v>
      </c>
      <c r="G29" s="16">
        <f t="shared" si="0"/>
        <v>696.56000000000017</v>
      </c>
    </row>
    <row r="30" spans="1:8" ht="12.5">
      <c r="A30" s="16" t="str">
        <v>James Park</v>
      </c>
      <c r="B30" s="16">
        <f t="shared" si="0"/>
        <v>2475.44</v>
      </c>
      <c r="C30" s="16">
        <f t="shared" si="0"/>
        <v>4790.6100000000006</v>
      </c>
      <c r="D30" s="16">
        <f t="shared" si="0"/>
        <v>2533</v>
      </c>
      <c r="E30" s="16">
        <f t="shared" si="0"/>
        <v>3076.84</v>
      </c>
      <c r="F30" s="16" t="str">
        <f t="shared" si="0"/>
        <v>keine Daten vorhanden</v>
      </c>
      <c r="G30" s="16">
        <f t="shared" si="0"/>
        <v>2319.25</v>
      </c>
    </row>
    <row r="31" spans="1:8" ht="12.5">
      <c r="A31" s="16" t="str">
        <v>Raj Sharma</v>
      </c>
      <c r="B31" s="16">
        <f t="shared" si="0"/>
        <v>3078.6600000000003</v>
      </c>
      <c r="C31" s="16">
        <f t="shared" si="0"/>
        <v>11872.97</v>
      </c>
      <c r="D31" s="16" t="str">
        <f t="shared" si="0"/>
        <v>keine Daten vorhanden</v>
      </c>
      <c r="E31" s="16">
        <f t="shared" si="0"/>
        <v>7365.2</v>
      </c>
      <c r="F31" s="16" t="str">
        <f t="shared" si="0"/>
        <v>keine Daten vorhanden</v>
      </c>
      <c r="G31" s="16">
        <f t="shared" si="0"/>
        <v>95.39</v>
      </c>
    </row>
    <row r="32" spans="1:8" ht="12.5">
      <c r="A32" s="16" t="str">
        <v>Sophie Laurent</v>
      </c>
      <c r="B32" s="16">
        <f t="shared" si="0"/>
        <v>5819.56</v>
      </c>
      <c r="C32" s="16">
        <f t="shared" si="0"/>
        <v>1177.1099999999999</v>
      </c>
      <c r="D32" s="16">
        <f t="shared" si="0"/>
        <v>958.86</v>
      </c>
      <c r="E32" s="16">
        <f t="shared" si="0"/>
        <v>4908.2</v>
      </c>
      <c r="F32" s="16">
        <f t="shared" si="0"/>
        <v>2214.3200000000002</v>
      </c>
      <c r="G32" s="16">
        <f t="shared" si="0"/>
        <v>104.56</v>
      </c>
    </row>
    <row r="33" spans="1:10" ht="12.5">
      <c r="A33" s="16" t="str">
        <v>Hannah Lee</v>
      </c>
      <c r="B33" s="16">
        <f t="shared" si="0"/>
        <v>4840.2700000000004</v>
      </c>
      <c r="C33" s="16">
        <f t="shared" si="0"/>
        <v>4164.71</v>
      </c>
      <c r="D33" s="16" t="str">
        <f t="shared" si="0"/>
        <v>keine Daten vorhanden</v>
      </c>
      <c r="E33" s="16">
        <f t="shared" si="0"/>
        <v>7524.3400000000011</v>
      </c>
      <c r="F33" s="16">
        <f t="shared" si="0"/>
        <v>1759.48</v>
      </c>
      <c r="G33" s="16">
        <f t="shared" si="0"/>
        <v>4245.2</v>
      </c>
    </row>
    <row r="34" spans="1:10" ht="12.5">
      <c r="A34" s="1"/>
      <c r="E34" s="1"/>
    </row>
    <row r="35" spans="1:10" ht="12.5">
      <c r="E35" s="1"/>
    </row>
    <row r="36" spans="1:10" ht="16.5">
      <c r="A36" s="44" t="s">
        <v>207</v>
      </c>
      <c r="B36" s="46"/>
      <c r="C36" s="46"/>
      <c r="D36" s="46"/>
      <c r="E36" s="40"/>
      <c r="F36" s="12"/>
      <c r="J36" s="12"/>
    </row>
    <row r="37" spans="1:10" ht="14">
      <c r="A37" s="13"/>
      <c r="B37" s="50" t="s">
        <v>7</v>
      </c>
      <c r="C37" s="46"/>
      <c r="D37" s="46"/>
      <c r="E37" s="40"/>
      <c r="F37" s="12"/>
      <c r="J37" s="19"/>
    </row>
    <row r="38" spans="1:10" ht="14">
      <c r="A38" s="13" t="s">
        <v>223</v>
      </c>
      <c r="B38" s="23" t="s">
        <v>71</v>
      </c>
      <c r="C38" s="12" t="s">
        <v>39</v>
      </c>
      <c r="D38" s="23" t="s">
        <v>32</v>
      </c>
      <c r="E38" s="12" t="s">
        <v>17</v>
      </c>
    </row>
    <row r="39" spans="1:10" ht="12.5">
      <c r="A39" s="16" t="str" cm="1">
        <f t="array" ref="A39:A50">_xlfn.UNIQUE(_xlfn._xlws.FILTER(E100:E1038,E100:E1038&lt;&gt;""))</f>
        <v>Priya Patel</v>
      </c>
      <c r="B39" s="24">
        <f>IF(COUNTIFS($E$100:$E$1038,$A39,$G$100:$G$1038,B$38)=0,"keine Daten vorhanden",SUMIFS($J$100:$J$1038,$E$100:$E$1038,$A39,$G$100:$G$1038,B$38))</f>
        <v>2310.33</v>
      </c>
      <c r="C39" s="24">
        <f>IF(COUNTIFS($E$100:$E$1038,$A39,$G$100:$G$1038,C$38)=0,"keine Daten vorhanden",SUMIFS($J$100:$J$1038,$E$100:$E$1038,$A39,$G$100:$G$1038,C$38))</f>
        <v>3060.5299999999997</v>
      </c>
      <c r="D39" s="24">
        <f>IF(COUNTIFS($E$100:$E$1038,$A39,$G$100:$G$1038,D$38)=0,"keine Daten vorhanden",SUMIFS($J$100:$J$1038,$E$100:$E$1038,$A39,$G$100:$G$1038,D$38))</f>
        <v>2125.56</v>
      </c>
      <c r="E39" s="24">
        <f>IF(COUNTIFS($E$100:$E$1038,$A39,$G$100:$G$1038,E$38)=0,"keine Daten vorhanden",SUMIFS($J$100:$J$1038,$E$100:$E$1038,$A39,$G$100:$G$1038,E$38))</f>
        <v>2813.18</v>
      </c>
    </row>
    <row r="40" spans="1:10" ht="12.5">
      <c r="A40" s="16" t="str">
        <v>David Kim</v>
      </c>
      <c r="B40" s="24">
        <f t="shared" ref="B40:E50" si="1">IF(COUNTIFS($E$100:$E$1038,$A40,$G$100:$G$1038,B$38)=0,"keine Daten vorhanden",SUMIFS($J$100:$J$1038,$E$100:$E$1038,$A40,$G$100:$G$1038,B$38))</f>
        <v>1075.49</v>
      </c>
      <c r="C40" s="24">
        <f t="shared" si="1"/>
        <v>8161.6599999999989</v>
      </c>
      <c r="D40" s="24">
        <f t="shared" si="1"/>
        <v>24600.09</v>
      </c>
      <c r="E40" s="24">
        <f t="shared" si="1"/>
        <v>7215.3499999999995</v>
      </c>
    </row>
    <row r="41" spans="1:10" ht="12.5">
      <c r="A41" s="16" t="str">
        <v>Carlos Mendez</v>
      </c>
      <c r="B41" s="24">
        <f t="shared" si="1"/>
        <v>4015.28</v>
      </c>
      <c r="C41" s="24">
        <f t="shared" si="1"/>
        <v>16125.900000000001</v>
      </c>
      <c r="D41" s="24">
        <f t="shared" si="1"/>
        <v>3357.63</v>
      </c>
      <c r="E41" s="24">
        <f t="shared" si="1"/>
        <v>1212.3800000000001</v>
      </c>
    </row>
    <row r="42" spans="1:10" ht="12.5">
      <c r="A42" s="16" t="str">
        <v>Aisha Hassan</v>
      </c>
      <c r="B42" s="24">
        <f t="shared" si="1"/>
        <v>13491.729999999998</v>
      </c>
      <c r="C42" s="24">
        <f t="shared" si="1"/>
        <v>667.97</v>
      </c>
      <c r="D42" s="24">
        <f t="shared" si="1"/>
        <v>5480.5099999999993</v>
      </c>
      <c r="E42" s="24">
        <f t="shared" si="1"/>
        <v>14230.939999999999</v>
      </c>
    </row>
    <row r="43" spans="1:10" ht="12.5">
      <c r="A43" s="16" t="str">
        <v>Elena Rossi</v>
      </c>
      <c r="B43" s="24">
        <f t="shared" si="1"/>
        <v>17856.3</v>
      </c>
      <c r="C43" s="24">
        <f t="shared" si="1"/>
        <v>112.19</v>
      </c>
      <c r="D43" s="24">
        <f t="shared" si="1"/>
        <v>260.51</v>
      </c>
      <c r="E43" s="24">
        <f t="shared" si="1"/>
        <v>2008.52</v>
      </c>
    </row>
    <row r="44" spans="1:10" ht="12.5">
      <c r="A44" s="16" t="str">
        <v>Nina Petrov</v>
      </c>
      <c r="B44" s="24">
        <f t="shared" si="1"/>
        <v>47137.04</v>
      </c>
      <c r="C44" s="24">
        <f t="shared" si="1"/>
        <v>3848.7200000000003</v>
      </c>
      <c r="D44" s="24">
        <f t="shared" si="1"/>
        <v>11835.36</v>
      </c>
      <c r="E44" s="24">
        <f t="shared" si="1"/>
        <v>1953.6200000000001</v>
      </c>
    </row>
    <row r="45" spans="1:10" ht="12.5">
      <c r="A45" s="16" t="str">
        <v>Tom Wilson</v>
      </c>
      <c r="B45" s="24">
        <f t="shared" si="1"/>
        <v>1073.24</v>
      </c>
      <c r="C45" s="24">
        <f t="shared" si="1"/>
        <v>3096</v>
      </c>
      <c r="D45" s="24">
        <f t="shared" si="1"/>
        <v>8987.68</v>
      </c>
      <c r="E45" s="24">
        <f t="shared" si="1"/>
        <v>2244.9</v>
      </c>
    </row>
    <row r="46" spans="1:10" ht="12.5">
      <c r="A46" s="16" t="str">
        <v>Marcus Johnson</v>
      </c>
      <c r="B46" s="24">
        <f t="shared" si="1"/>
        <v>14116.999999999998</v>
      </c>
      <c r="C46" s="24">
        <f t="shared" si="1"/>
        <v>28295.08</v>
      </c>
      <c r="D46" s="24">
        <f t="shared" si="1"/>
        <v>26328.690000000002</v>
      </c>
      <c r="E46" s="24">
        <f t="shared" si="1"/>
        <v>10211.200000000001</v>
      </c>
    </row>
    <row r="47" spans="1:10" ht="12.5">
      <c r="A47" s="16" t="str">
        <v>James Park</v>
      </c>
      <c r="B47" s="24">
        <f t="shared" si="1"/>
        <v>372.97</v>
      </c>
      <c r="C47" s="24">
        <f t="shared" si="1"/>
        <v>4705.6500000000005</v>
      </c>
      <c r="D47" s="24">
        <f t="shared" si="1"/>
        <v>784.01</v>
      </c>
      <c r="E47" s="24">
        <f t="shared" si="1"/>
        <v>9332.51</v>
      </c>
    </row>
    <row r="48" spans="1:10" ht="12.5">
      <c r="A48" s="16" t="str">
        <v>Raj Sharma</v>
      </c>
      <c r="B48" s="24">
        <f t="shared" si="1"/>
        <v>5953.0400000000009</v>
      </c>
      <c r="C48" s="24">
        <f t="shared" si="1"/>
        <v>2149.6600000000003</v>
      </c>
      <c r="D48" s="24">
        <f t="shared" si="1"/>
        <v>996</v>
      </c>
      <c r="E48" s="24">
        <f t="shared" si="1"/>
        <v>13313.52</v>
      </c>
    </row>
    <row r="49" spans="1:5" ht="12.5">
      <c r="A49" s="16" t="str">
        <v>Sophie Laurent</v>
      </c>
      <c r="B49" s="24">
        <f t="shared" si="1"/>
        <v>5058.26</v>
      </c>
      <c r="C49" s="24">
        <f t="shared" si="1"/>
        <v>7650.3799999999992</v>
      </c>
      <c r="D49" s="24">
        <f t="shared" si="1"/>
        <v>946.37</v>
      </c>
      <c r="E49" s="24">
        <f t="shared" si="1"/>
        <v>1527.6</v>
      </c>
    </row>
    <row r="50" spans="1:5" ht="12.5">
      <c r="A50" s="16" t="str">
        <v>Hannah Lee</v>
      </c>
      <c r="B50" s="24">
        <f t="shared" si="1"/>
        <v>7564.8100000000013</v>
      </c>
      <c r="C50" s="24">
        <f t="shared" si="1"/>
        <v>275.18</v>
      </c>
      <c r="D50" s="24">
        <f t="shared" si="1"/>
        <v>8172.73</v>
      </c>
      <c r="E50" s="24">
        <f t="shared" si="1"/>
        <v>6521.2800000000007</v>
      </c>
    </row>
    <row r="51" spans="1:5" ht="12.5">
      <c r="A51" s="1"/>
      <c r="E51" s="1"/>
    </row>
    <row r="52" spans="1:5" ht="37" customHeight="1">
      <c r="A52" s="41" t="s">
        <v>796</v>
      </c>
      <c r="B52" s="40"/>
    </row>
    <row r="53" spans="1:5" ht="13">
      <c r="A53" s="13" t="s">
        <v>778</v>
      </c>
      <c r="B53" s="14" t="s">
        <v>779</v>
      </c>
    </row>
    <row r="54" spans="1:5" ht="12.5">
      <c r="A54" s="16" t="s">
        <v>781</v>
      </c>
      <c r="B54" s="8">
        <f>SUMIFS($J$100:$J$349,$B$100:$B$349,"&gt;="&amp;DATE(2025,1,1),$B$100:$B$349,"&lt;"&amp;DATE(2025,2,1))</f>
        <v>186600.12000000011</v>
      </c>
    </row>
    <row r="55" spans="1:5" ht="12.5">
      <c r="A55" s="16" t="s">
        <v>782</v>
      </c>
      <c r="B55" s="8">
        <f>SUMIFS($J$100:$J$349,$B$100:$B$349,"&gt;="&amp;DATE(2025,2,1),$B$100:$B$349,"&lt;"&amp;DATE(2025,3,1))</f>
        <v>85430.349999999991</v>
      </c>
    </row>
    <row r="56" spans="1:5" ht="12.5">
      <c r="A56" s="16" t="s">
        <v>783</v>
      </c>
      <c r="B56" s="8">
        <f>SUMIFS($J$100:$J$349,$B$100:$B$349,"&gt;="&amp;DATE(2025,3,1),$B$100:$B$349,"&lt;"&amp;DATE(2025,4,1))</f>
        <v>92604.079999999987</v>
      </c>
    </row>
    <row r="58" spans="1:5" ht="37" customHeight="1">
      <c r="A58" s="41" t="s">
        <v>797</v>
      </c>
      <c r="B58" s="40"/>
    </row>
    <row r="59" spans="1:5" ht="13">
      <c r="A59" s="13" t="s">
        <v>699</v>
      </c>
      <c r="B59" s="14" t="s">
        <v>779</v>
      </c>
    </row>
    <row r="60" spans="1:5" ht="12.5">
      <c r="A60" s="16" t="s">
        <v>30</v>
      </c>
      <c r="B60" s="8">
        <f>SUMIF($E$100:$E$349,A60,$J$100:$J$349)</f>
        <v>78951.97</v>
      </c>
    </row>
    <row r="61" spans="1:5" ht="12.5">
      <c r="A61" s="16" t="s">
        <v>14</v>
      </c>
      <c r="B61" s="8">
        <f t="shared" ref="B61:B64" si="2">SUMIF($E$100:$E$349,A61,$J$100:$J$349)</f>
        <v>64774.739999999991</v>
      </c>
    </row>
    <row r="62" spans="1:5" ht="12.5">
      <c r="A62" s="16" t="s">
        <v>62</v>
      </c>
      <c r="B62" s="8">
        <f t="shared" si="2"/>
        <v>41052.589999999997</v>
      </c>
    </row>
    <row r="63" spans="1:5" ht="12.5">
      <c r="A63" s="16" t="s">
        <v>178</v>
      </c>
      <c r="B63" s="8">
        <f t="shared" si="2"/>
        <v>33871.149999999994</v>
      </c>
    </row>
    <row r="64" spans="1:5" ht="12.5">
      <c r="A64" s="16" t="s">
        <v>67</v>
      </c>
      <c r="B64" s="8">
        <f t="shared" si="2"/>
        <v>24711.19</v>
      </c>
      <c r="E64" s="1"/>
    </row>
    <row r="65" spans="1:6" ht="12.5">
      <c r="E65" s="1"/>
    </row>
    <row r="66" spans="1:6" ht="12.5">
      <c r="E66" s="1"/>
    </row>
    <row r="67" spans="1:6" ht="12.5">
      <c r="E67" s="1"/>
    </row>
    <row r="68" spans="1:6" ht="13">
      <c r="A68" s="25" t="s">
        <v>6</v>
      </c>
      <c r="B68" s="26" t="s">
        <v>784</v>
      </c>
      <c r="C68" s="26" t="s">
        <v>785</v>
      </c>
      <c r="D68" s="26" t="s">
        <v>786</v>
      </c>
      <c r="E68" s="26" t="s">
        <v>787</v>
      </c>
      <c r="F68" s="26" t="s">
        <v>788</v>
      </c>
    </row>
    <row r="69" spans="1:6" ht="12.5">
      <c r="A69" s="27" t="s">
        <v>31</v>
      </c>
      <c r="B69" s="28" cm="1">
        <f t="array" ref="B69">MIN(_xlfn._xlws.FILTER($J$100:$J$349,$F$100:$F$349=$A69))</f>
        <v>46.99</v>
      </c>
      <c r="C69" s="28" cm="1">
        <f t="array" ref="C69">_xlfn.QUARTILE.INC(_xlfn._xlws.FILTER($J$100:$J$349,$F$100:$F$349=$A69),1)</f>
        <v>194.45750000000001</v>
      </c>
      <c r="D69" s="28" cm="1">
        <f t="array" ref="D69">_xlfn.QUARTILE.INC(_xlfn._xlws.FILTER($J$100:$J$349,$F$100:$F$349=$A69),3)</f>
        <v>957.76</v>
      </c>
      <c r="E69" s="28" cm="1">
        <f t="array" ref="E69">MAX(_xlfn._xlws.FILTER($J$100:$J$349,$F$100:$F$349=$A69))</f>
        <v>24064.6</v>
      </c>
      <c r="F69" s="28" cm="1">
        <f t="array" ref="F69">MEDIAN(_xlfn._xlws.FILTER($J$100:$J$349,$F$100:$F$349=$A69))</f>
        <v>427.28999999999996</v>
      </c>
    </row>
    <row r="70" spans="1:6" ht="12.5">
      <c r="A70" s="27" t="s">
        <v>52</v>
      </c>
      <c r="B70" s="28" cm="1">
        <f t="array" ref="B70">MIN(_xlfn._xlws.FILTER($J$100:$J$349,$F$100:$F$349=$A70))</f>
        <v>45.33</v>
      </c>
      <c r="C70" s="28" cm="1">
        <f t="array" ref="C70">_xlfn.QUARTILE.INC(_xlfn._xlws.FILTER($J$100:$J$349,$F$100:$F$349=$A70),1)</f>
        <v>114.94</v>
      </c>
      <c r="D70" s="28" cm="1">
        <f t="array" ref="D70">_xlfn.QUARTILE.INC(_xlfn._xlws.FILTER($J$100:$J$349,$F$100:$F$349=$A70),3)</f>
        <v>958.86</v>
      </c>
      <c r="E70" s="28" cm="1">
        <f t="array" ref="E70">MAX(_xlfn._xlws.FILTER($J$100:$J$349,$F$100:$F$349=$A70))</f>
        <v>13307.5</v>
      </c>
      <c r="F70" s="28" cm="1">
        <f t="array" ref="F70">MEDIAN(_xlfn._xlws.FILTER($J$100:$J$349,$F$100:$F$349=$A70))</f>
        <v>285.02</v>
      </c>
    </row>
    <row r="71" spans="1:6" ht="12.5">
      <c r="A71" s="27" t="s">
        <v>15</v>
      </c>
      <c r="B71" s="28" cm="1">
        <f t="array" ref="B71">MIN(_xlfn._xlws.FILTER($J$100:$J$349,$F$100:$F$349=$A71))</f>
        <v>46.97</v>
      </c>
      <c r="C71" s="28" cm="1">
        <f t="array" ref="C71">_xlfn.QUARTILE.INC(_xlfn._xlws.FILTER($J$100:$J$349,$F$100:$F$349=$A71),1)</f>
        <v>128.38</v>
      </c>
      <c r="D71" s="28" cm="1">
        <f t="array" ref="D71">_xlfn.QUARTILE.INC(_xlfn._xlws.FILTER($J$100:$J$349,$F$100:$F$349=$A71),3)</f>
        <v>1082.7950000000001</v>
      </c>
      <c r="E71" s="28" cm="1">
        <f t="array" ref="E71">MAX(_xlfn._xlws.FILTER($J$100:$J$349,$F$100:$F$349=$A71))</f>
        <v>46616</v>
      </c>
      <c r="F71" s="28" cm="1">
        <f t="array" ref="F71">MEDIAN(_xlfn._xlws.FILTER($J$100:$J$349,$F$100:$F$349=$A71))</f>
        <v>276.18</v>
      </c>
    </row>
    <row r="72" spans="1:6" ht="12.5">
      <c r="A72" s="16" t="s">
        <v>50</v>
      </c>
      <c r="B72" s="28" cm="1">
        <f t="array" ref="B72">MIN(_xlfn._xlws.FILTER($J$100:$J$349,$F$100:$F$349=$A72))</f>
        <v>41.17</v>
      </c>
      <c r="C72" s="28" cm="1">
        <f t="array" ref="C72">_xlfn.QUARTILE.INC(_xlfn._xlws.FILTER($J$100:$J$349,$F$100:$F$349=$A72),1)</f>
        <v>101.66249999999999</v>
      </c>
      <c r="D72" s="28" cm="1">
        <f t="array" ref="D72">_xlfn.QUARTILE.INC(_xlfn._xlws.FILTER($J$100:$J$349,$F$100:$F$349=$A72),3)</f>
        <v>1939.5875000000001</v>
      </c>
      <c r="E72" s="28" cm="1">
        <f t="array" ref="E72">MAX(_xlfn._xlws.FILTER($J$100:$J$349,$F$100:$F$349=$A72))</f>
        <v>7365.2</v>
      </c>
      <c r="F72" s="28" cm="1">
        <f t="array" ref="F72">MEDIAN(_xlfn._xlws.FILTER($J$100:$J$349,$F$100:$F$349=$A72))</f>
        <v>369.52</v>
      </c>
    </row>
    <row r="73" spans="1:6" ht="12.5">
      <c r="E73" s="1"/>
    </row>
    <row r="74" spans="1:6" ht="12.5">
      <c r="E74" s="1"/>
    </row>
    <row r="75" spans="1:6" ht="12.5">
      <c r="E75" s="1"/>
    </row>
    <row r="76" spans="1:6" ht="12.5">
      <c r="E76" s="1"/>
    </row>
    <row r="77" spans="1:6" ht="12.5">
      <c r="E77" s="1"/>
    </row>
    <row r="78" spans="1:6" ht="12.5">
      <c r="E78" s="1"/>
    </row>
    <row r="79" spans="1:6" ht="12.5">
      <c r="E79" s="1"/>
    </row>
    <row r="80" spans="1:6" ht="12.5">
      <c r="E80" s="1"/>
    </row>
    <row r="81" spans="1:10" ht="12.5">
      <c r="E81" s="1"/>
    </row>
    <row r="88" spans="1:10" ht="12.5">
      <c r="B88" s="1" t="s">
        <v>789</v>
      </c>
    </row>
    <row r="94" spans="1:10" ht="19">
      <c r="A94" s="2"/>
      <c r="B94" s="2"/>
      <c r="C94" s="2"/>
      <c r="D94" s="2"/>
      <c r="E94" s="2"/>
      <c r="F94" s="2"/>
      <c r="G94" s="2"/>
      <c r="H94" s="2"/>
      <c r="I94" s="2"/>
      <c r="J94" s="2"/>
    </row>
    <row r="95" spans="1:10" ht="19">
      <c r="A95" s="2"/>
      <c r="B95" s="2"/>
      <c r="C95" s="2"/>
      <c r="D95" s="2"/>
      <c r="E95" s="2"/>
      <c r="F95" s="2"/>
      <c r="G95" s="2"/>
      <c r="H95" s="2"/>
      <c r="I95" s="2"/>
      <c r="J95" s="2"/>
    </row>
    <row r="96" spans="1:10" ht="19">
      <c r="A96" s="2"/>
      <c r="B96" s="2"/>
      <c r="C96" s="2"/>
      <c r="D96" s="2"/>
      <c r="E96" s="2"/>
      <c r="F96" s="2"/>
      <c r="G96" s="2"/>
      <c r="H96" s="2"/>
      <c r="I96" s="2"/>
      <c r="J96" s="2"/>
    </row>
    <row r="97" spans="1:10" ht="19">
      <c r="A97" s="2"/>
      <c r="B97" s="2"/>
      <c r="C97" s="2"/>
      <c r="D97" s="2"/>
      <c r="E97" s="2"/>
      <c r="F97" s="2"/>
      <c r="G97" s="2"/>
      <c r="H97" s="2"/>
      <c r="I97" s="2"/>
      <c r="J97" s="2"/>
    </row>
    <row r="98" spans="1:10" ht="19">
      <c r="A98" s="45" t="s">
        <v>790</v>
      </c>
      <c r="B98" s="46"/>
      <c r="C98" s="46"/>
      <c r="D98" s="46"/>
      <c r="E98" s="46"/>
      <c r="F98" s="46"/>
      <c r="G98" s="46"/>
      <c r="H98" s="46"/>
      <c r="I98" s="46"/>
      <c r="J98" s="40"/>
    </row>
    <row r="99" spans="1:10" ht="12.5">
      <c r="A99" s="3" t="s">
        <v>0</v>
      </c>
      <c r="B99" s="3" t="s">
        <v>2</v>
      </c>
      <c r="C99" s="3" t="s">
        <v>3</v>
      </c>
      <c r="D99" s="3" t="s">
        <v>4</v>
      </c>
      <c r="E99" s="1" t="s">
        <v>5</v>
      </c>
      <c r="F99" s="3" t="s">
        <v>6</v>
      </c>
      <c r="G99" s="3" t="s">
        <v>7</v>
      </c>
      <c r="H99" s="3" t="s">
        <v>8</v>
      </c>
      <c r="I99" s="3" t="s">
        <v>9</v>
      </c>
      <c r="J99" s="3" t="s">
        <v>10</v>
      </c>
    </row>
    <row r="100" spans="1:10" ht="12.5">
      <c r="A100" s="1" t="str">
        <f>Datensätze!A2</f>
        <v>D-1001</v>
      </c>
      <c r="B100" s="4">
        <f>Datensätze!B2</f>
        <v>45669</v>
      </c>
      <c r="C100" s="1" t="str">
        <f>Datensätze!C2</f>
        <v>Phoenix Co</v>
      </c>
      <c r="D100" s="1" t="str">
        <f>Datensätze!K2</f>
        <v>Starter Plan</v>
      </c>
      <c r="E100" s="1" t="str">
        <f>Datensätze!L2</f>
        <v>Priya Patel</v>
      </c>
      <c r="F100" s="1" t="str">
        <f>Datensätze!F2</f>
        <v>Maya Rodriguez</v>
      </c>
      <c r="G100" s="1" t="str">
        <f>Datensätze!M2</f>
        <v>LATAM</v>
      </c>
      <c r="H100" s="1">
        <f>Datensätze!H2</f>
        <v>1</v>
      </c>
      <c r="I100" s="15">
        <f>Datensätze!N2</f>
        <v>45.33</v>
      </c>
      <c r="J100" s="9">
        <f>Datensätze!O2</f>
        <v>45.33</v>
      </c>
    </row>
    <row r="101" spans="1:10" ht="12.5">
      <c r="A101" s="1" t="str">
        <f>Datensätze!A3</f>
        <v>D-1002</v>
      </c>
      <c r="B101" s="4">
        <f>Datensätze!B3</f>
        <v>45683</v>
      </c>
      <c r="C101" s="1" t="str">
        <f>Datensätze!C3</f>
        <v>Nova Inc</v>
      </c>
      <c r="D101" s="1" t="str">
        <f>Datensätze!K3</f>
        <v>Pro Plan</v>
      </c>
      <c r="E101" s="1" t="str">
        <f>Datensätze!L3</f>
        <v>David Kim</v>
      </c>
      <c r="F101" s="1" t="str">
        <f>Datensätze!F3</f>
        <v>Sarah Chen</v>
      </c>
      <c r="G101" s="1" t="str">
        <f>Datensätze!M3</f>
        <v>LATAM</v>
      </c>
      <c r="H101" s="1">
        <f>Datensätze!H3</f>
        <v>1</v>
      </c>
      <c r="I101" s="15">
        <f>Datensätze!N3</f>
        <v>243.59</v>
      </c>
      <c r="J101" s="9">
        <f>Datensätze!O3</f>
        <v>243.59</v>
      </c>
    </row>
    <row r="102" spans="1:10" ht="12.5">
      <c r="A102" s="1" t="str">
        <f>Datensätze!A4</f>
        <v>D-1003</v>
      </c>
      <c r="B102" s="4">
        <f>Datensätze!B4</f>
        <v>45685</v>
      </c>
      <c r="C102" s="1" t="str">
        <f>Datensätze!C4</f>
        <v>Citadel Group</v>
      </c>
      <c r="D102" s="1" t="str">
        <f>Datensätze!K4</f>
        <v>Enterprise Plan</v>
      </c>
      <c r="E102" s="1" t="str">
        <f>Datensätze!L4</f>
        <v>Carlos Mendez</v>
      </c>
      <c r="F102" s="1" t="str">
        <f>Datensätze!F4</f>
        <v>Maya Rodriguez</v>
      </c>
      <c r="G102" s="1" t="str">
        <f>Datensätze!M4</f>
        <v>EMEA</v>
      </c>
      <c r="H102" s="1">
        <f>Datensätze!H4</f>
        <v>10</v>
      </c>
      <c r="I102" s="15">
        <f>Datensätze!N4</f>
        <v>1330.75</v>
      </c>
      <c r="J102" s="9">
        <f>Datensätze!O4</f>
        <v>13307.5</v>
      </c>
    </row>
    <row r="103" spans="1:10" ht="12.5">
      <c r="A103" s="1" t="str">
        <f>Datensätze!A5</f>
        <v>D-1004</v>
      </c>
      <c r="B103" s="4">
        <f>Datensätze!B5</f>
        <v>45725</v>
      </c>
      <c r="C103" s="1" t="str">
        <f>Datensätze!C5</f>
        <v>Prism Group</v>
      </c>
      <c r="D103" s="1" t="str">
        <f>Datensätze!K5</f>
        <v>Business Plan</v>
      </c>
      <c r="E103" s="1" t="str">
        <f>Datensätze!L5</f>
        <v>Aisha Hassan</v>
      </c>
      <c r="F103" s="1" t="str">
        <f>Datensätze!F5</f>
        <v>Sarah Chen</v>
      </c>
      <c r="G103" s="1" t="str">
        <f>Datensätze!M5</f>
        <v>LATAM</v>
      </c>
      <c r="H103" s="1">
        <f>Datensätze!H5</f>
        <v>1</v>
      </c>
      <c r="I103" s="15">
        <f>Datensätze!N5</f>
        <v>492.03</v>
      </c>
      <c r="J103" s="9">
        <f>Datensätze!O5</f>
        <v>492.03</v>
      </c>
    </row>
    <row r="104" spans="1:10" ht="12.5">
      <c r="A104" s="1" t="str">
        <f>Datensätze!A6</f>
        <v>D-1005</v>
      </c>
      <c r="B104" s="4">
        <f>Datensätze!B6</f>
        <v>45712</v>
      </c>
      <c r="C104" s="1" t="str">
        <f>Datensätze!C6</f>
        <v>Echo Labs</v>
      </c>
      <c r="D104" s="1" t="str">
        <f>Datensätze!K6</f>
        <v>Pro Plan</v>
      </c>
      <c r="E104" s="1" t="str">
        <f>Datensätze!L6</f>
        <v>Elena Rossi</v>
      </c>
      <c r="F104" s="1" t="str">
        <f>Datensätze!F6</f>
        <v>Lukas Becker</v>
      </c>
      <c r="G104" s="1" t="str">
        <f>Datensätze!M6</f>
        <v>North America</v>
      </c>
      <c r="H104" s="1">
        <f>Datensätze!H6</f>
        <v>1</v>
      </c>
      <c r="I104" s="15">
        <f>Datensätze!N6</f>
        <v>233.69</v>
      </c>
      <c r="J104" s="9">
        <f>Datensätze!O6</f>
        <v>233.69</v>
      </c>
    </row>
    <row r="105" spans="1:10" ht="12.5">
      <c r="A105" s="1" t="str">
        <f>Datensätze!A7</f>
        <v>D-1006</v>
      </c>
      <c r="B105" s="4">
        <f>Datensätze!B7</f>
        <v>45683</v>
      </c>
      <c r="C105" s="1" t="str">
        <f>Datensätze!C7</f>
        <v>Nova Inc</v>
      </c>
      <c r="D105" s="1" t="str">
        <f>Datensätze!K7</f>
        <v>Add-on: Support</v>
      </c>
      <c r="E105" s="1" t="str">
        <f>Datensätze!L7</f>
        <v>Aisha Hassan</v>
      </c>
      <c r="F105" s="1" t="str">
        <f>Datensätze!F7</f>
        <v>Sarah Chen</v>
      </c>
      <c r="G105" s="1" t="str">
        <f>Datensätze!M7</f>
        <v>APAC</v>
      </c>
      <c r="H105" s="1">
        <f>Datensätze!H7</f>
        <v>1</v>
      </c>
      <c r="I105" s="15">
        <f>Datensätze!N7</f>
        <v>116.31</v>
      </c>
      <c r="J105" s="9">
        <f>Datensätze!O7</f>
        <v>116.31</v>
      </c>
    </row>
    <row r="106" spans="1:10" ht="12.5">
      <c r="A106" s="1" t="str">
        <f>Datensätze!A8</f>
        <v>D-1007</v>
      </c>
      <c r="B106" s="4">
        <f>Datensätze!B8</f>
        <v>45678</v>
      </c>
      <c r="C106" s="1" t="str">
        <f>Datensätze!C8</f>
        <v>Borealis Co</v>
      </c>
      <c r="D106" s="1" t="str">
        <f>Datensätze!K8</f>
        <v>Add-on: Support</v>
      </c>
      <c r="E106" s="1" t="str">
        <f>Datensätze!L8</f>
        <v>Nina Petrov</v>
      </c>
      <c r="F106" s="1" t="str">
        <f>Datensätze!F8</f>
        <v>Lukas Becker</v>
      </c>
      <c r="G106" s="1" t="str">
        <f>Datensätze!M8</f>
        <v>LATAM</v>
      </c>
      <c r="H106" s="1">
        <f>Datensätze!H8</f>
        <v>1</v>
      </c>
      <c r="I106" s="15">
        <f>Datensätze!N8</f>
        <v>146.66999999999999</v>
      </c>
      <c r="J106" s="9">
        <f>Datensätze!O8</f>
        <v>146.66999999999999</v>
      </c>
    </row>
    <row r="107" spans="1:10" ht="12.5">
      <c r="A107" s="1" t="str">
        <f>Datensätze!A9</f>
        <v>D-1008</v>
      </c>
      <c r="B107" s="4">
        <f>Datensätze!B9</f>
        <v>45662</v>
      </c>
      <c r="C107" s="1" t="str">
        <f>Datensätze!C9</f>
        <v>Phoenix Co</v>
      </c>
      <c r="D107" s="1" t="str">
        <f>Datensätze!K9</f>
        <v>Pro Plan</v>
      </c>
      <c r="E107" s="1" t="str">
        <f>Datensätze!L9</f>
        <v>Tom Wilson</v>
      </c>
      <c r="F107" s="1" t="str">
        <f>Datensätze!F9</f>
        <v>Lukas Becker</v>
      </c>
      <c r="G107" s="1" t="str">
        <f>Datensätze!M9</f>
        <v>LATAM</v>
      </c>
      <c r="H107" s="1">
        <f>Datensätze!H9</f>
        <v>20</v>
      </c>
      <c r="I107" s="15">
        <f>Datensätze!N9</f>
        <v>249.04</v>
      </c>
      <c r="J107" s="9">
        <f>Datensätze!O9</f>
        <v>4980.8</v>
      </c>
    </row>
    <row r="108" spans="1:10" ht="12.5">
      <c r="A108" s="1" t="str">
        <f>Datensätze!A10</f>
        <v>D-1009</v>
      </c>
      <c r="B108" s="4">
        <f>Datensätze!B10</f>
        <v>45669</v>
      </c>
      <c r="C108" s="1" t="str">
        <f>Datensätze!C10</f>
        <v>Foundry Group</v>
      </c>
      <c r="D108" s="1" t="str">
        <f>Datensätze!K10</f>
        <v>Pro Plan</v>
      </c>
      <c r="E108" s="1" t="str">
        <f>Datensätze!L10</f>
        <v>Marcus Johnson</v>
      </c>
      <c r="F108" s="1" t="str">
        <f>Datensätze!F10</f>
        <v>Sarah Chen</v>
      </c>
      <c r="G108" s="1" t="str">
        <f>Datensätze!M10</f>
        <v>North America</v>
      </c>
      <c r="H108" s="1">
        <f>Datensätze!H10</f>
        <v>1</v>
      </c>
      <c r="I108" s="15">
        <f>Datensätze!N10</f>
        <v>213.81</v>
      </c>
      <c r="J108" s="9">
        <f>Datensätze!O10</f>
        <v>213.81</v>
      </c>
    </row>
    <row r="109" spans="1:10" ht="12.5">
      <c r="A109" s="1" t="str">
        <f>Datensätze!A11</f>
        <v>D-1010</v>
      </c>
      <c r="B109" s="4">
        <f>Datensätze!B11</f>
        <v>45683</v>
      </c>
      <c r="C109" s="1" t="str">
        <f>Datensätze!C11</f>
        <v>Driftwood Co</v>
      </c>
      <c r="D109" s="1" t="str">
        <f>Datensätze!K11</f>
        <v>Business Plan</v>
      </c>
      <c r="E109" s="1" t="str">
        <f>Datensätze!L11</f>
        <v>Marcus Johnson</v>
      </c>
      <c r="F109" s="1" t="str">
        <f>Datensätze!F11</f>
        <v>Sarah Chen</v>
      </c>
      <c r="G109" s="1" t="str">
        <f>Datensätze!M11</f>
        <v>APAC</v>
      </c>
      <c r="H109" s="1">
        <f>Datensätze!H11</f>
        <v>1</v>
      </c>
      <c r="I109" s="15">
        <f>Datensätze!N11</f>
        <v>428.51</v>
      </c>
      <c r="J109" s="9">
        <f>Datensätze!O11</f>
        <v>428.51</v>
      </c>
    </row>
    <row r="110" spans="1:10" ht="12.5">
      <c r="A110" s="1" t="str">
        <f>Datensätze!A12</f>
        <v>D-1011</v>
      </c>
      <c r="B110" s="4">
        <f>Datensätze!B12</f>
        <v>45674</v>
      </c>
      <c r="C110" s="1" t="str">
        <f>Datensätze!C12</f>
        <v>Harbor Inc</v>
      </c>
      <c r="D110" s="1" t="str">
        <f>Datensätze!K12</f>
        <v>Business Plan</v>
      </c>
      <c r="E110" s="1" t="str">
        <f>Datensätze!L12</f>
        <v>James Park</v>
      </c>
      <c r="F110" s="1" t="str">
        <f>Datensätze!F12</f>
        <v>Owen Walsh</v>
      </c>
      <c r="G110" s="1" t="str">
        <f>Datensätze!M12</f>
        <v>North America</v>
      </c>
      <c r="H110" s="1">
        <f>Datensätze!H12</f>
        <v>1</v>
      </c>
      <c r="I110" s="15">
        <f>Datensätze!N12</f>
        <v>410.61</v>
      </c>
      <c r="J110" s="9">
        <f>Datensätze!O12</f>
        <v>410.61</v>
      </c>
    </row>
    <row r="111" spans="1:10" ht="12.5">
      <c r="A111" s="1" t="str">
        <f>Datensätze!A13</f>
        <v>D-1012</v>
      </c>
      <c r="B111" s="4">
        <f>Datensätze!B13</f>
        <v>45677</v>
      </c>
      <c r="C111" s="1" t="str">
        <f>Datensätze!C13</f>
        <v>Lumen Labs</v>
      </c>
      <c r="D111" s="1" t="str">
        <f>Datensätze!K13</f>
        <v>Add-on: Analytics</v>
      </c>
      <c r="E111" s="1" t="str">
        <f>Datensätze!L13</f>
        <v>Priya Patel</v>
      </c>
      <c r="F111" s="1" t="str">
        <f>Datensätze!F13</f>
        <v>Maya Rodriguez</v>
      </c>
      <c r="G111" s="1" t="str">
        <f>Datensätze!M13</f>
        <v>LATAM</v>
      </c>
      <c r="H111" s="1">
        <f>Datensätze!H13</f>
        <v>5</v>
      </c>
      <c r="I111" s="15">
        <f>Datensätze!N13</f>
        <v>103.1</v>
      </c>
      <c r="J111" s="9">
        <f>Datensätze!O13</f>
        <v>515.5</v>
      </c>
    </row>
    <row r="112" spans="1:10" ht="12.5">
      <c r="A112" s="1" t="str">
        <f>Datensätze!A14</f>
        <v>D-1013</v>
      </c>
      <c r="B112" s="4">
        <f>Datensätze!B14</f>
        <v>45680</v>
      </c>
      <c r="C112" s="1" t="str">
        <f>Datensätze!C14</f>
        <v>Apex Group</v>
      </c>
      <c r="D112" s="1" t="str">
        <f>Datensätze!K14</f>
        <v>Starter Plan</v>
      </c>
      <c r="E112" s="1" t="str">
        <f>Datensätze!L14</f>
        <v>Nina Petrov</v>
      </c>
      <c r="F112" s="1" t="str">
        <f>Datensätze!F14</f>
        <v>Lukas Becker</v>
      </c>
      <c r="G112" s="1" t="str">
        <f>Datensätze!M14</f>
        <v>LATAM</v>
      </c>
      <c r="H112" s="1">
        <f>Datensätze!H14</f>
        <v>1</v>
      </c>
      <c r="I112" s="15">
        <f>Datensätze!N14</f>
        <v>46.97</v>
      </c>
      <c r="J112" s="9">
        <f>Datensätze!O14</f>
        <v>46.97</v>
      </c>
    </row>
    <row r="113" spans="1:10" ht="12.5">
      <c r="A113" s="1" t="str">
        <f>Datensätze!A15</f>
        <v>D-1014</v>
      </c>
      <c r="B113" s="4">
        <f>Datensätze!B15</f>
        <v>45687</v>
      </c>
      <c r="C113" s="1" t="str">
        <f>Datensätze!C15</f>
        <v>Obsidian Co</v>
      </c>
      <c r="D113" s="1" t="str">
        <f>Datensätze!K15</f>
        <v>Add-on: Support</v>
      </c>
      <c r="E113" s="1" t="str">
        <f>Datensätze!L15</f>
        <v>Carlos Mendez</v>
      </c>
      <c r="F113" s="1" t="str">
        <f>Datensätze!F15</f>
        <v>Maya Rodriguez</v>
      </c>
      <c r="G113" s="1" t="str">
        <f>Datensätze!M15</f>
        <v>EMEA</v>
      </c>
      <c r="H113" s="1">
        <f>Datensätze!H15</f>
        <v>1</v>
      </c>
      <c r="I113" s="15">
        <f>Datensätze!N15</f>
        <v>114.94</v>
      </c>
      <c r="J113" s="9">
        <f>Datensätze!O15</f>
        <v>114.94</v>
      </c>
    </row>
    <row r="114" spans="1:10" ht="12.5">
      <c r="A114" s="1" t="str">
        <f>Datensätze!A16</f>
        <v>D-1015</v>
      </c>
      <c r="B114" s="4">
        <f>Datensätze!B16</f>
        <v>45694</v>
      </c>
      <c r="C114" s="1" t="str">
        <f>Datensätze!C16</f>
        <v>Citadel Group</v>
      </c>
      <c r="D114" s="1" t="str">
        <f>Datensätze!K16</f>
        <v>Starter Plan</v>
      </c>
      <c r="E114" s="1" t="str">
        <f>Datensätze!L16</f>
        <v>Raj Sharma</v>
      </c>
      <c r="F114" s="1" t="str">
        <f>Datensätze!F16</f>
        <v>Owen Walsh</v>
      </c>
      <c r="G114" s="1" t="str">
        <f>Datensätze!M16</f>
        <v>APAC</v>
      </c>
      <c r="H114" s="1">
        <f>Datensätze!H16</f>
        <v>1</v>
      </c>
      <c r="I114" s="15">
        <f>Datensätze!N16</f>
        <v>42.9</v>
      </c>
      <c r="J114" s="9">
        <f>Datensätze!O16</f>
        <v>42.9</v>
      </c>
    </row>
    <row r="115" spans="1:10" ht="12.5">
      <c r="A115" s="1" t="str">
        <f>Datensätze!A17</f>
        <v>D-1016</v>
      </c>
      <c r="B115" s="4">
        <f>Datensätze!B17</f>
        <v>45709</v>
      </c>
      <c r="C115" s="1" t="str">
        <f>Datensätze!C17</f>
        <v>Driftwood Co</v>
      </c>
      <c r="D115" s="1" t="str">
        <f>Datensätze!K17</f>
        <v>Pro Plan</v>
      </c>
      <c r="E115" s="1" t="str">
        <f>Datensätze!L17</f>
        <v>Marcus Johnson</v>
      </c>
      <c r="F115" s="1" t="str">
        <f>Datensätze!F17</f>
        <v>Sarah Chen</v>
      </c>
      <c r="G115" s="1" t="str">
        <f>Datensätze!M17</f>
        <v>North America</v>
      </c>
      <c r="H115" s="1">
        <f>Datensätze!H17</f>
        <v>2</v>
      </c>
      <c r="I115" s="15">
        <f>Datensätze!N17</f>
        <v>273.36</v>
      </c>
      <c r="J115" s="9">
        <f>Datensätze!O17</f>
        <v>546.72</v>
      </c>
    </row>
    <row r="116" spans="1:10" ht="12.5">
      <c r="A116" s="1" t="str">
        <f>Datensätze!A18</f>
        <v>D-1017</v>
      </c>
      <c r="B116" s="4">
        <f>Datensätze!B18</f>
        <v>45705</v>
      </c>
      <c r="C116" s="1" t="str">
        <f>Datensätze!C18</f>
        <v>Nova Inc</v>
      </c>
      <c r="D116" s="1" t="str">
        <f>Datensätze!K18</f>
        <v>Enterprise Plan</v>
      </c>
      <c r="E116" s="1" t="str">
        <f>Datensätze!L18</f>
        <v>Priya Patel</v>
      </c>
      <c r="F116" s="1" t="str">
        <f>Datensätze!F18</f>
        <v>Maya Rodriguez</v>
      </c>
      <c r="G116" s="1" t="str">
        <f>Datensätze!M18</f>
        <v>LATAM</v>
      </c>
      <c r="H116" s="1">
        <f>Datensätze!H18</f>
        <v>1</v>
      </c>
      <c r="I116" s="15">
        <f>Datensätze!N18</f>
        <v>1339.78</v>
      </c>
      <c r="J116" s="9">
        <f>Datensätze!O18</f>
        <v>1339.78</v>
      </c>
    </row>
    <row r="117" spans="1:10" ht="12.5">
      <c r="A117" s="1" t="str">
        <f>Datensätze!A19</f>
        <v>D-1018</v>
      </c>
      <c r="B117" s="4">
        <f>Datensätze!B19</f>
        <v>45741</v>
      </c>
      <c r="C117" s="1" t="str">
        <f>Datensätze!C19</f>
        <v>Nimbus Co</v>
      </c>
      <c r="D117" s="1" t="str">
        <f>Datensätze!K19</f>
        <v>Enterprise Plan</v>
      </c>
      <c r="E117" s="1" t="str">
        <f>Datensätze!L19</f>
        <v>Tom Wilson</v>
      </c>
      <c r="F117" s="1" t="str">
        <f>Datensätze!F19</f>
        <v>Lukas Becker</v>
      </c>
      <c r="G117" s="1" t="str">
        <f>Datensätze!M19</f>
        <v>LATAM</v>
      </c>
      <c r="H117" s="1">
        <f>Datensätze!H19</f>
        <v>1</v>
      </c>
      <c r="I117" s="15">
        <f>Datensätze!N19</f>
        <v>1227.17</v>
      </c>
      <c r="J117" s="9">
        <f>Datensätze!O19</f>
        <v>1227.17</v>
      </c>
    </row>
    <row r="118" spans="1:10" ht="12.5">
      <c r="A118" s="1" t="str">
        <f>Datensätze!A20</f>
        <v>D-1019</v>
      </c>
      <c r="B118" s="4">
        <f>Datensätze!B20</f>
        <v>45744</v>
      </c>
      <c r="C118" s="1" t="str">
        <f>Datensätze!C20</f>
        <v>Onyx Group</v>
      </c>
      <c r="D118" s="1" t="str">
        <f>Datensätze!K20</f>
        <v>Starter Plan</v>
      </c>
      <c r="E118" s="1" t="str">
        <f>Datensätze!L20</f>
        <v>Tom Wilson</v>
      </c>
      <c r="F118" s="1" t="str">
        <f>Datensätze!F20</f>
        <v>Lukas Becker</v>
      </c>
      <c r="G118" s="1" t="str">
        <f>Datensätze!M20</f>
        <v>APAC</v>
      </c>
      <c r="H118" s="1">
        <f>Datensätze!H20</f>
        <v>1</v>
      </c>
      <c r="I118" s="15">
        <f>Datensätze!N20</f>
        <v>72.37</v>
      </c>
      <c r="J118" s="9">
        <f>Datensätze!O20</f>
        <v>72.37</v>
      </c>
    </row>
    <row r="119" spans="1:10" ht="12.5">
      <c r="A119" s="1" t="str">
        <f>Datensätze!A21</f>
        <v>D-1020</v>
      </c>
      <c r="B119" s="4">
        <f>Datensätze!B21</f>
        <v>45714</v>
      </c>
      <c r="C119" s="1" t="str">
        <f>Datensätze!C21</f>
        <v>Harbor Inc</v>
      </c>
      <c r="D119" s="1" t="str">
        <f>Datensätze!K21</f>
        <v>Pro Plan</v>
      </c>
      <c r="E119" s="1" t="str">
        <f>Datensätze!L21</f>
        <v>Tom Wilson</v>
      </c>
      <c r="F119" s="1" t="str">
        <f>Datensätze!F21</f>
        <v>Lukas Becker</v>
      </c>
      <c r="G119" s="1" t="str">
        <f>Datensätze!M21</f>
        <v>EMEA</v>
      </c>
      <c r="H119" s="1">
        <f>Datensätze!H21</f>
        <v>10</v>
      </c>
      <c r="I119" s="15">
        <f>Datensätze!N21</f>
        <v>162.02000000000001</v>
      </c>
      <c r="J119" s="9">
        <f>Datensätze!O21</f>
        <v>1620.2</v>
      </c>
    </row>
    <row r="120" spans="1:10" ht="12.5">
      <c r="A120" s="1" t="str">
        <f>Datensätze!A22</f>
        <v>D-1021</v>
      </c>
      <c r="B120" s="4">
        <f>Datensätze!B22</f>
        <v>45719</v>
      </c>
      <c r="C120" s="1" t="str">
        <f>Datensätze!C22</f>
        <v>Verdant Inc</v>
      </c>
      <c r="D120" s="1" t="str">
        <f>Datensätze!K22</f>
        <v>Starter Plan</v>
      </c>
      <c r="E120" s="1" t="str">
        <f>Datensätze!L22</f>
        <v>Carlos Mendez</v>
      </c>
      <c r="F120" s="1" t="str">
        <f>Datensätze!F22</f>
        <v>Maya Rodriguez</v>
      </c>
      <c r="G120" s="1" t="str">
        <f>Datensätze!M22</f>
        <v>APAC</v>
      </c>
      <c r="H120" s="1">
        <f>Datensätze!H22</f>
        <v>20</v>
      </c>
      <c r="I120" s="15">
        <f>Datensätze!N22</f>
        <v>74.98</v>
      </c>
      <c r="J120" s="9">
        <f>Datensätze!O22</f>
        <v>1499.6000000000001</v>
      </c>
    </row>
    <row r="121" spans="1:10" ht="12.5">
      <c r="A121" s="1" t="str">
        <f>Datensätze!A23</f>
        <v>D-1022</v>
      </c>
      <c r="B121" s="4">
        <f>Datensätze!B23</f>
        <v>45742</v>
      </c>
      <c r="C121" s="1" t="str">
        <f>Datensätze!C23</f>
        <v>Solstice Group</v>
      </c>
      <c r="D121" s="1" t="str">
        <f>Datensätze!K23</f>
        <v>Add-on: Support</v>
      </c>
      <c r="E121" s="1" t="str">
        <f>Datensätze!L23</f>
        <v>Sophie Laurent</v>
      </c>
      <c r="F121" s="1" t="str">
        <f>Datensätze!F23</f>
        <v>Maya Rodriguez</v>
      </c>
      <c r="G121" s="1" t="str">
        <f>Datensätze!M23</f>
        <v>EMEA</v>
      </c>
      <c r="H121" s="1">
        <f>Datensätze!H23</f>
        <v>2</v>
      </c>
      <c r="I121" s="15">
        <f>Datensätze!N23</f>
        <v>100.36</v>
      </c>
      <c r="J121" s="9">
        <f>Datensätze!O23</f>
        <v>200.72</v>
      </c>
    </row>
    <row r="122" spans="1:10" ht="12.5">
      <c r="A122" s="1" t="str">
        <f>Datensätze!A24</f>
        <v>D-1023</v>
      </c>
      <c r="B122" s="4">
        <f>Datensätze!B24</f>
        <v>45714</v>
      </c>
      <c r="C122" s="1" t="str">
        <f>Datensätze!C24</f>
        <v>Rivet Co</v>
      </c>
      <c r="D122" s="1" t="str">
        <f>Datensätze!K24</f>
        <v>Starter Plan</v>
      </c>
      <c r="E122" s="1" t="str">
        <f>Datensätze!L24</f>
        <v>Raj Sharma</v>
      </c>
      <c r="F122" s="1" t="str">
        <f>Datensätze!F24</f>
        <v>Owen Walsh</v>
      </c>
      <c r="G122" s="1" t="str">
        <f>Datensätze!M24</f>
        <v>EMEA</v>
      </c>
      <c r="H122" s="1">
        <f>Datensätze!H24</f>
        <v>20</v>
      </c>
      <c r="I122" s="15">
        <f>Datensätze!N24</f>
        <v>64.75</v>
      </c>
      <c r="J122" s="9">
        <f>Datensätze!O24</f>
        <v>1295</v>
      </c>
    </row>
    <row r="123" spans="1:10" ht="12.5">
      <c r="A123" s="1" t="str">
        <f>Datensätze!A25</f>
        <v>D-1024</v>
      </c>
      <c r="B123" s="4">
        <f>Datensätze!B25</f>
        <v>45746</v>
      </c>
      <c r="C123" s="1" t="str">
        <f>Datensätze!C25</f>
        <v>Catalyst Inc</v>
      </c>
      <c r="D123" s="1" t="str">
        <f>Datensätze!K25</f>
        <v>Pro Plan</v>
      </c>
      <c r="E123" s="1" t="str">
        <f>Datensätze!L25</f>
        <v>Aisha Hassan</v>
      </c>
      <c r="F123" s="1" t="str">
        <f>Datensätze!F25</f>
        <v>Sarah Chen</v>
      </c>
      <c r="G123" s="1" t="str">
        <f>Datensätze!M25</f>
        <v>LATAM</v>
      </c>
      <c r="H123" s="1">
        <f>Datensätze!H25</f>
        <v>1</v>
      </c>
      <c r="I123" s="15">
        <f>Datensätze!N25</f>
        <v>250.06</v>
      </c>
      <c r="J123" s="9">
        <f>Datensätze!O25</f>
        <v>250.06</v>
      </c>
    </row>
    <row r="124" spans="1:10" ht="12.5">
      <c r="A124" s="1" t="str">
        <f>Datensätze!A26</f>
        <v>D-1025</v>
      </c>
      <c r="B124" s="4">
        <f>Datensätze!B26</f>
        <v>45711</v>
      </c>
      <c r="C124" s="1" t="str">
        <f>Datensätze!C26</f>
        <v>Atlas Group</v>
      </c>
      <c r="D124" s="1" t="str">
        <f>Datensätze!K26</f>
        <v>Add-on: Analytics</v>
      </c>
      <c r="E124" s="1" t="str">
        <f>Datensätze!L26</f>
        <v>David Kim</v>
      </c>
      <c r="F124" s="1" t="str">
        <f>Datensätze!F26</f>
        <v>Sarah Chen</v>
      </c>
      <c r="G124" s="1" t="str">
        <f>Datensätze!M26</f>
        <v>EMEA</v>
      </c>
      <c r="H124" s="1">
        <f>Datensätze!H26</f>
        <v>10</v>
      </c>
      <c r="I124" s="15">
        <f>Datensätze!N26</f>
        <v>75.66</v>
      </c>
      <c r="J124" s="9">
        <f>Datensätze!O26</f>
        <v>756.59999999999991</v>
      </c>
    </row>
    <row r="125" spans="1:10" ht="12.5">
      <c r="A125" s="1" t="str">
        <f>Datensätze!A27</f>
        <v>D-1026</v>
      </c>
      <c r="B125" s="4">
        <f>Datensätze!B27</f>
        <v>45722</v>
      </c>
      <c r="C125" s="1" t="str">
        <f>Datensätze!C27</f>
        <v>Borealis Co</v>
      </c>
      <c r="D125" s="1" t="str">
        <f>Datensätze!K27</f>
        <v>Pro Plan</v>
      </c>
      <c r="E125" s="1" t="str">
        <f>Datensätze!L27</f>
        <v>Tom Wilson</v>
      </c>
      <c r="F125" s="1" t="str">
        <f>Datensätze!F27</f>
        <v>Lukas Becker</v>
      </c>
      <c r="G125" s="1" t="str">
        <f>Datensätze!M27</f>
        <v>EMEA</v>
      </c>
      <c r="H125" s="1">
        <f>Datensätze!H27</f>
        <v>5</v>
      </c>
      <c r="I125" s="15">
        <f>Datensätze!N27</f>
        <v>150.54</v>
      </c>
      <c r="J125" s="9">
        <f>Datensätze!O27</f>
        <v>752.69999999999993</v>
      </c>
    </row>
    <row r="126" spans="1:10" ht="12.5">
      <c r="A126" s="1" t="str">
        <f>Datensätze!A28</f>
        <v>D-1027</v>
      </c>
      <c r="B126" s="4">
        <f>Datensätze!B28</f>
        <v>45679</v>
      </c>
      <c r="C126" s="1" t="str">
        <f>Datensätze!C28</f>
        <v>Kestrel Co</v>
      </c>
      <c r="D126" s="1" t="str">
        <f>Datensätze!K28</f>
        <v>Starter Plan</v>
      </c>
      <c r="E126" s="1" t="str">
        <f>Datensätze!L28</f>
        <v>Sophie Laurent</v>
      </c>
      <c r="F126" s="1" t="str">
        <f>Datensätze!F28</f>
        <v>Maya Rodriguez</v>
      </c>
      <c r="G126" s="1" t="str">
        <f>Datensätze!M28</f>
        <v>EMEA</v>
      </c>
      <c r="H126" s="1">
        <f>Datensätze!H28</f>
        <v>20</v>
      </c>
      <c r="I126" s="15">
        <f>Datensätze!N28</f>
        <v>79.13</v>
      </c>
      <c r="J126" s="9">
        <f>Datensätze!O28</f>
        <v>1582.6</v>
      </c>
    </row>
    <row r="127" spans="1:10" ht="12.5">
      <c r="A127" s="1" t="str">
        <f>Datensätze!A29</f>
        <v>D-1028</v>
      </c>
      <c r="B127" s="4">
        <f>Datensätze!B29</f>
        <v>45717</v>
      </c>
      <c r="C127" s="1" t="str">
        <f>Datensätze!C29</f>
        <v>Solstice Group</v>
      </c>
      <c r="D127" s="1" t="str">
        <f>Datensätze!K29</f>
        <v>Add-on: Support</v>
      </c>
      <c r="E127" s="1" t="str">
        <f>Datensätze!L29</f>
        <v>Sophie Laurent</v>
      </c>
      <c r="F127" s="1" t="str">
        <f>Datensätze!F29</f>
        <v>Maya Rodriguez</v>
      </c>
      <c r="G127" s="1" t="str">
        <f>Datensätze!M29</f>
        <v>LATAM</v>
      </c>
      <c r="H127" s="1">
        <f>Datensätze!H29</f>
        <v>5</v>
      </c>
      <c r="I127" s="15">
        <f>Datensätze!N29</f>
        <v>131.72</v>
      </c>
      <c r="J127" s="9">
        <f>Datensätze!O29</f>
        <v>658.6</v>
      </c>
    </row>
    <row r="128" spans="1:10" ht="12.5">
      <c r="A128" s="1" t="str">
        <f>Datensätze!A30</f>
        <v>D-1029</v>
      </c>
      <c r="B128" s="4">
        <f>Datensätze!B30</f>
        <v>45667</v>
      </c>
      <c r="C128" s="1" t="str">
        <f>Datensätze!C30</f>
        <v>Cascade Group</v>
      </c>
      <c r="D128" s="1" t="str">
        <f>Datensätze!K30</f>
        <v>Starter Plan</v>
      </c>
      <c r="E128" s="1" t="str">
        <f>Datensätze!L30</f>
        <v>Sophie Laurent</v>
      </c>
      <c r="F128" s="1" t="str">
        <f>Datensätze!F30</f>
        <v>Maya Rodriguez</v>
      </c>
      <c r="G128" s="1" t="str">
        <f>Datensätze!M30</f>
        <v>APAC</v>
      </c>
      <c r="H128" s="1">
        <f>Datensätze!H30</f>
        <v>50</v>
      </c>
      <c r="I128" s="15">
        <f>Datensätze!N30</f>
        <v>72.260000000000005</v>
      </c>
      <c r="J128" s="9">
        <f>Datensätze!O30</f>
        <v>3613.0000000000005</v>
      </c>
    </row>
    <row r="129" spans="1:10" ht="12.5">
      <c r="A129" s="1" t="str">
        <f>Datensätze!A31</f>
        <v>D-1030</v>
      </c>
      <c r="B129" s="4">
        <f>Datensätze!B31</f>
        <v>45738</v>
      </c>
      <c r="C129" s="1" t="str">
        <f>Datensätze!C31</f>
        <v>Foundry Group</v>
      </c>
      <c r="D129" s="1" t="str">
        <f>Datensätze!K31</f>
        <v>Add-on: Support</v>
      </c>
      <c r="E129" s="1" t="str">
        <f>Datensätze!L31</f>
        <v>Nina Petrov</v>
      </c>
      <c r="F129" s="1" t="str">
        <f>Datensätze!F31</f>
        <v>Lukas Becker</v>
      </c>
      <c r="G129" s="1" t="str">
        <f>Datensätze!M31</f>
        <v>North America</v>
      </c>
      <c r="H129" s="1">
        <f>Datensätze!H31</f>
        <v>1</v>
      </c>
      <c r="I129" s="15">
        <f>Datensätze!N31</f>
        <v>147.96</v>
      </c>
      <c r="J129" s="9">
        <f>Datensätze!O31</f>
        <v>147.96</v>
      </c>
    </row>
    <row r="130" spans="1:10" ht="12.5">
      <c r="A130" s="1" t="str">
        <f>Datensätze!A32</f>
        <v>D-1031</v>
      </c>
      <c r="B130" s="4">
        <f>Datensätze!B32</f>
        <v>45709</v>
      </c>
      <c r="C130" s="1" t="str">
        <f>Datensätze!C32</f>
        <v>Northwind Co</v>
      </c>
      <c r="D130" s="1" t="str">
        <f>Datensätze!K32</f>
        <v>Starter Plan</v>
      </c>
      <c r="E130" s="1" t="str">
        <f>Datensätze!L32</f>
        <v>Elena Rossi</v>
      </c>
      <c r="F130" s="1" t="str">
        <f>Datensätze!F32</f>
        <v>Lukas Becker</v>
      </c>
      <c r="G130" s="1" t="str">
        <f>Datensätze!M32</f>
        <v>APAC</v>
      </c>
      <c r="H130" s="1">
        <f>Datensätze!H32</f>
        <v>50</v>
      </c>
      <c r="I130" s="15">
        <f>Datensätze!N32</f>
        <v>71.739999999999995</v>
      </c>
      <c r="J130" s="9">
        <f>Datensätze!O32</f>
        <v>3586.9999999999995</v>
      </c>
    </row>
    <row r="131" spans="1:10" ht="12.5">
      <c r="A131" s="1" t="str">
        <f>Datensätze!A33</f>
        <v>D-1032</v>
      </c>
      <c r="B131" s="4">
        <f>Datensätze!B33</f>
        <v>45715</v>
      </c>
      <c r="C131" s="1" t="str">
        <f>Datensätze!C33</f>
        <v>Arcadia Inc</v>
      </c>
      <c r="D131" s="1" t="str">
        <f>Datensätze!K33</f>
        <v>Starter Plan</v>
      </c>
      <c r="E131" s="1" t="str">
        <f>Datensätze!L33</f>
        <v>Hannah Lee</v>
      </c>
      <c r="F131" s="1" t="str">
        <f>Datensätze!F33</f>
        <v>Owen Walsh</v>
      </c>
      <c r="G131" s="1" t="str">
        <f>Datensätze!M33</f>
        <v>EMEA</v>
      </c>
      <c r="H131" s="1">
        <f>Datensätze!H33</f>
        <v>1</v>
      </c>
      <c r="I131" s="15">
        <f>Datensätze!N33</f>
        <v>45.23</v>
      </c>
      <c r="J131" s="9">
        <f>Datensätze!O33</f>
        <v>45.23</v>
      </c>
    </row>
    <row r="132" spans="1:10" ht="12.5">
      <c r="A132" s="1" t="str">
        <f>Datensätze!A34</f>
        <v>D-1033</v>
      </c>
      <c r="B132" s="4">
        <f>Datensätze!B34</f>
        <v>45717</v>
      </c>
      <c r="C132" s="1" t="str">
        <f>Datensätze!C34</f>
        <v>Phoenix Co</v>
      </c>
      <c r="D132" s="1" t="str">
        <f>Datensätze!K34</f>
        <v>Pro Plan</v>
      </c>
      <c r="E132" s="1" t="str">
        <f>Datensätze!L34</f>
        <v>James Park</v>
      </c>
      <c r="F132" s="1" t="str">
        <f>Datensätze!F34</f>
        <v>Owen Walsh</v>
      </c>
      <c r="G132" s="1" t="str">
        <f>Datensätze!M34</f>
        <v>LATAM</v>
      </c>
      <c r="H132" s="1">
        <f>Datensätze!H34</f>
        <v>2</v>
      </c>
      <c r="I132" s="15">
        <f>Datensätze!N34</f>
        <v>181.14</v>
      </c>
      <c r="J132" s="9">
        <f>Datensätze!O34</f>
        <v>362.28</v>
      </c>
    </row>
    <row r="133" spans="1:10" ht="12.5">
      <c r="A133" s="1" t="str">
        <f>Datensätze!A35</f>
        <v>D-1034</v>
      </c>
      <c r="B133" s="4">
        <f>Datensätze!B35</f>
        <v>45718</v>
      </c>
      <c r="C133" s="1" t="str">
        <f>Datensätze!C35</f>
        <v>Juniper Group</v>
      </c>
      <c r="D133" s="1" t="str">
        <f>Datensätze!K35</f>
        <v>Starter Plan</v>
      </c>
      <c r="E133" s="1" t="str">
        <f>Datensätze!L35</f>
        <v>Nina Petrov</v>
      </c>
      <c r="F133" s="1" t="str">
        <f>Datensätze!F35</f>
        <v>Lukas Becker</v>
      </c>
      <c r="G133" s="1" t="str">
        <f>Datensätze!M35</f>
        <v>LATAM</v>
      </c>
      <c r="H133" s="1">
        <f>Datensätze!H35</f>
        <v>2</v>
      </c>
      <c r="I133" s="15">
        <f>Datensätze!N35</f>
        <v>65.03</v>
      </c>
      <c r="J133" s="9">
        <f>Datensätze!O35</f>
        <v>130.06</v>
      </c>
    </row>
    <row r="134" spans="1:10" ht="12.5">
      <c r="A134" s="1" t="str">
        <f>Datensätze!A36</f>
        <v>D-1035</v>
      </c>
      <c r="B134" s="4">
        <f>Datensätze!B36</f>
        <v>45659</v>
      </c>
      <c r="C134" s="1" t="str">
        <f>Datensätze!C36</f>
        <v>Nova Inc</v>
      </c>
      <c r="D134" s="1" t="str">
        <f>Datensätze!K36</f>
        <v>Add-on: Support</v>
      </c>
      <c r="E134" s="1" t="str">
        <f>Datensätze!L36</f>
        <v>Elena Rossi</v>
      </c>
      <c r="F134" s="1" t="str">
        <f>Datensätze!F36</f>
        <v>Lukas Becker</v>
      </c>
      <c r="G134" s="1" t="str">
        <f>Datensätze!M36</f>
        <v>EMEA</v>
      </c>
      <c r="H134" s="1">
        <f>Datensätze!H36</f>
        <v>1</v>
      </c>
      <c r="I134" s="15">
        <f>Datensätze!N36</f>
        <v>112.19</v>
      </c>
      <c r="J134" s="9">
        <f>Datensätze!O36</f>
        <v>112.19</v>
      </c>
    </row>
    <row r="135" spans="1:10" ht="12.5">
      <c r="A135" s="1" t="str">
        <f>Datensätze!A37</f>
        <v>D-1036</v>
      </c>
      <c r="B135" s="4">
        <f>Datensätze!B37</f>
        <v>45730</v>
      </c>
      <c r="C135" s="1" t="str">
        <f>Datensätze!C37</f>
        <v>Vertex Inc</v>
      </c>
      <c r="D135" s="1" t="str">
        <f>Datensätze!K37</f>
        <v>Enterprise Plan</v>
      </c>
      <c r="E135" s="1" t="str">
        <f>Datensätze!L37</f>
        <v>Marcus Johnson</v>
      </c>
      <c r="F135" s="1" t="str">
        <f>Datensätze!F37</f>
        <v>Sarah Chen</v>
      </c>
      <c r="G135" s="1" t="str">
        <f>Datensätze!M37</f>
        <v>APAC</v>
      </c>
      <c r="H135" s="1">
        <f>Datensätze!H37</f>
        <v>1</v>
      </c>
      <c r="I135" s="15">
        <f>Datensätze!N37</f>
        <v>1266.8599999999999</v>
      </c>
      <c r="J135" s="9">
        <f>Datensätze!O37</f>
        <v>1266.8599999999999</v>
      </c>
    </row>
    <row r="136" spans="1:10" ht="12.5">
      <c r="A136" s="1" t="str">
        <f>Datensätze!A38</f>
        <v>D-1037</v>
      </c>
      <c r="B136" s="4">
        <f>Datensätze!B38</f>
        <v>45675</v>
      </c>
      <c r="C136" s="1" t="str">
        <f>Datensätze!C38</f>
        <v>Quill Labs</v>
      </c>
      <c r="D136" s="1" t="str">
        <f>Datensätze!K38</f>
        <v>Business Plan</v>
      </c>
      <c r="E136" s="1" t="str">
        <f>Datensätze!L38</f>
        <v>Elena Rossi</v>
      </c>
      <c r="F136" s="1" t="str">
        <f>Datensätze!F38</f>
        <v>Lukas Becker</v>
      </c>
      <c r="G136" s="1" t="str">
        <f>Datensätze!M38</f>
        <v>APAC</v>
      </c>
      <c r="H136" s="1">
        <f>Datensätze!H38</f>
        <v>1</v>
      </c>
      <c r="I136" s="15">
        <f>Datensätze!N38</f>
        <v>389.23</v>
      </c>
      <c r="J136" s="9">
        <f>Datensätze!O38</f>
        <v>389.23</v>
      </c>
    </row>
    <row r="137" spans="1:10" ht="12.5">
      <c r="A137" s="1" t="str">
        <f>Datensätze!A39</f>
        <v>D-1038</v>
      </c>
      <c r="B137" s="4">
        <f>Datensätze!B39</f>
        <v>45695</v>
      </c>
      <c r="C137" s="1" t="str">
        <f>Datensätze!C39</f>
        <v>Quanta Labs</v>
      </c>
      <c r="D137" s="1" t="str">
        <f>Datensätze!K39</f>
        <v>Pro Plan</v>
      </c>
      <c r="E137" s="1" t="str">
        <f>Datensätze!L39</f>
        <v>Nina Petrov</v>
      </c>
      <c r="F137" s="1" t="str">
        <f>Datensätze!F39</f>
        <v>Lukas Becker</v>
      </c>
      <c r="G137" s="1" t="str">
        <f>Datensätze!M39</f>
        <v>North America</v>
      </c>
      <c r="H137" s="1">
        <f>Datensätze!H39</f>
        <v>1</v>
      </c>
      <c r="I137" s="15">
        <f>Datensätze!N39</f>
        <v>184.49</v>
      </c>
      <c r="J137" s="9">
        <f>Datensätze!O39</f>
        <v>184.49</v>
      </c>
    </row>
    <row r="138" spans="1:10" ht="12.5">
      <c r="A138" s="1" t="str">
        <f>Datensätze!A40</f>
        <v>D-1039</v>
      </c>
      <c r="B138" s="4">
        <f>Datensätze!B40</f>
        <v>45720</v>
      </c>
      <c r="C138" s="1" t="str">
        <f>Datensätze!C40</f>
        <v>Foundry Group</v>
      </c>
      <c r="D138" s="1" t="str">
        <f>Datensätze!K40</f>
        <v>Starter Plan</v>
      </c>
      <c r="E138" s="1" t="str">
        <f>Datensätze!L40</f>
        <v>Aisha Hassan</v>
      </c>
      <c r="F138" s="1" t="str">
        <f>Datensätze!F40</f>
        <v>Sarah Chen</v>
      </c>
      <c r="G138" s="1" t="str">
        <f>Datensätze!M40</f>
        <v>LATAM</v>
      </c>
      <c r="H138" s="1">
        <f>Datensätze!H40</f>
        <v>1</v>
      </c>
      <c r="I138" s="15">
        <f>Datensätze!N40</f>
        <v>47.54</v>
      </c>
      <c r="J138" s="9">
        <f>Datensätze!O40</f>
        <v>47.54</v>
      </c>
    </row>
    <row r="139" spans="1:10" ht="12.5">
      <c r="A139" s="1" t="str">
        <f>Datensätze!A41</f>
        <v>D-1040</v>
      </c>
      <c r="B139" s="4">
        <f>Datensätze!B41</f>
        <v>45729</v>
      </c>
      <c r="C139" s="1" t="str">
        <f>Datensätze!C41</f>
        <v>Citadel Group</v>
      </c>
      <c r="D139" s="1" t="str">
        <f>Datensätze!K41</f>
        <v>Starter Plan</v>
      </c>
      <c r="E139" s="1" t="str">
        <f>Datensätze!L41</f>
        <v>Aisha Hassan</v>
      </c>
      <c r="F139" s="1" t="str">
        <f>Datensätze!F41</f>
        <v>Sarah Chen</v>
      </c>
      <c r="G139" s="1" t="str">
        <f>Datensätze!M41</f>
        <v>APAC</v>
      </c>
      <c r="H139" s="1">
        <f>Datensätze!H41</f>
        <v>1</v>
      </c>
      <c r="I139" s="15">
        <f>Datensätze!N41</f>
        <v>76.75</v>
      </c>
      <c r="J139" s="9">
        <f>Datensätze!O41</f>
        <v>76.75</v>
      </c>
    </row>
    <row r="140" spans="1:10" ht="12.5">
      <c r="A140" s="1" t="str">
        <f>Datensätze!A42</f>
        <v>D-1041</v>
      </c>
      <c r="B140" s="4">
        <f>Datensätze!B42</f>
        <v>45674</v>
      </c>
      <c r="C140" s="1" t="str">
        <f>Datensätze!C42</f>
        <v>Nova Inc</v>
      </c>
      <c r="D140" s="1" t="str">
        <f>Datensätze!K42</f>
        <v>Business Plan</v>
      </c>
      <c r="E140" s="1" t="str">
        <f>Datensätze!L42</f>
        <v>Aisha Hassan</v>
      </c>
      <c r="F140" s="1" t="str">
        <f>Datensätze!F42</f>
        <v>Sarah Chen</v>
      </c>
      <c r="G140" s="1" t="str">
        <f>Datensätze!M42</f>
        <v>APAC</v>
      </c>
      <c r="H140" s="1">
        <f>Datensätze!H42</f>
        <v>1</v>
      </c>
      <c r="I140" s="15">
        <f>Datensätze!N42</f>
        <v>451.68</v>
      </c>
      <c r="J140" s="9">
        <f>Datensätze!O42</f>
        <v>451.68</v>
      </c>
    </row>
    <row r="141" spans="1:10" ht="12.5">
      <c r="A141" s="1" t="str">
        <f>Datensätze!A43</f>
        <v>D-1042</v>
      </c>
      <c r="B141" s="4">
        <f>Datensätze!B43</f>
        <v>45706</v>
      </c>
      <c r="C141" s="1" t="str">
        <f>Datensätze!C43</f>
        <v>Helix Systems</v>
      </c>
      <c r="D141" s="1" t="str">
        <f>Datensätze!K43</f>
        <v>Starter Plan</v>
      </c>
      <c r="E141" s="1" t="str">
        <f>Datensätze!L43</f>
        <v>Raj Sharma</v>
      </c>
      <c r="F141" s="1" t="str">
        <f>Datensätze!F43</f>
        <v>Owen Walsh</v>
      </c>
      <c r="G141" s="1" t="str">
        <f>Datensätze!M43</f>
        <v>EMEA</v>
      </c>
      <c r="H141" s="1">
        <f>Datensätze!H43</f>
        <v>1</v>
      </c>
      <c r="I141" s="15">
        <f>Datensätze!N43</f>
        <v>60.51</v>
      </c>
      <c r="J141" s="9">
        <f>Datensätze!O43</f>
        <v>60.51</v>
      </c>
    </row>
    <row r="142" spans="1:10" ht="12.5">
      <c r="A142" s="1" t="str">
        <f>Datensätze!A44</f>
        <v>D-1043</v>
      </c>
      <c r="B142" s="4">
        <f>Datensätze!B44</f>
        <v>45736</v>
      </c>
      <c r="C142" s="1" t="str">
        <f>Datensätze!C44</f>
        <v>Nimbus Co</v>
      </c>
      <c r="D142" s="1" t="str">
        <f>Datensätze!K44</f>
        <v>Add-on: Analytics</v>
      </c>
      <c r="E142" s="1" t="str">
        <f>Datensätze!L44</f>
        <v>Aisha Hassan</v>
      </c>
      <c r="F142" s="1" t="str">
        <f>Datensätze!F44</f>
        <v>Sarah Chen</v>
      </c>
      <c r="G142" s="1" t="str">
        <f>Datensätze!M44</f>
        <v>APAC</v>
      </c>
      <c r="H142" s="1">
        <f>Datensätze!H44</f>
        <v>5</v>
      </c>
      <c r="I142" s="15">
        <f>Datensätze!N44</f>
        <v>105.63</v>
      </c>
      <c r="J142" s="9">
        <f>Datensätze!O44</f>
        <v>528.15</v>
      </c>
    </row>
    <row r="143" spans="1:10" ht="12.5">
      <c r="A143" s="1" t="str">
        <f>Datensätze!A45</f>
        <v>D-1044</v>
      </c>
      <c r="B143" s="4">
        <f>Datensätze!B45</f>
        <v>45697</v>
      </c>
      <c r="C143" s="1" t="str">
        <f>Datensätze!C45</f>
        <v>Arcadia Inc</v>
      </c>
      <c r="D143" s="1" t="str">
        <f>Datensätze!K45</f>
        <v>Enterprise Plan</v>
      </c>
      <c r="E143" s="1" t="str">
        <f>Datensätze!L45</f>
        <v>Aisha Hassan</v>
      </c>
      <c r="F143" s="1" t="str">
        <f>Datensätze!F45</f>
        <v>Sarah Chen</v>
      </c>
      <c r="G143" s="1" t="str">
        <f>Datensätze!M45</f>
        <v>APAC</v>
      </c>
      <c r="H143" s="1">
        <f>Datensätze!H45</f>
        <v>10</v>
      </c>
      <c r="I143" s="15">
        <f>Datensätze!N45</f>
        <v>1118.07</v>
      </c>
      <c r="J143" s="9">
        <f>Datensätze!O45</f>
        <v>11180.699999999999</v>
      </c>
    </row>
    <row r="144" spans="1:10" ht="12.5">
      <c r="A144" s="1" t="str">
        <f>Datensätze!A46</f>
        <v>D-1045</v>
      </c>
      <c r="B144" s="4">
        <f>Datensätze!B46</f>
        <v>45706</v>
      </c>
      <c r="C144" s="1" t="str">
        <f>Datensätze!C46</f>
        <v>Meridian Group</v>
      </c>
      <c r="D144" s="1" t="str">
        <f>Datensätze!K46</f>
        <v>Starter Plan</v>
      </c>
      <c r="E144" s="1" t="str">
        <f>Datensätze!L46</f>
        <v>Aisha Hassan</v>
      </c>
      <c r="F144" s="1" t="str">
        <f>Datensätze!F46</f>
        <v>Sarah Chen</v>
      </c>
      <c r="G144" s="1" t="str">
        <f>Datensätze!M46</f>
        <v>North America</v>
      </c>
      <c r="H144" s="1">
        <f>Datensätze!H46</f>
        <v>5</v>
      </c>
      <c r="I144" s="15">
        <f>Datensätze!N46</f>
        <v>40.5</v>
      </c>
      <c r="J144" s="9">
        <f>Datensätze!O46</f>
        <v>202.5</v>
      </c>
    </row>
    <row r="145" spans="1:10" ht="12.5">
      <c r="A145" s="1" t="str">
        <f>Datensätze!A47</f>
        <v>D-1046</v>
      </c>
      <c r="B145" s="4">
        <f>Datensätze!B47</f>
        <v>45735</v>
      </c>
      <c r="C145" s="1" t="str">
        <f>Datensätze!C47</f>
        <v>Beacon Labs</v>
      </c>
      <c r="D145" s="1" t="str">
        <f>Datensätze!K47</f>
        <v>Enterprise Plan</v>
      </c>
      <c r="E145" s="1" t="str">
        <f>Datensätze!L47</f>
        <v>James Park</v>
      </c>
      <c r="F145" s="1" t="str">
        <f>Datensätze!F47</f>
        <v>Owen Walsh</v>
      </c>
      <c r="G145" s="1" t="str">
        <f>Datensätze!M47</f>
        <v>North America</v>
      </c>
      <c r="H145" s="1">
        <f>Datensätze!H47</f>
        <v>2</v>
      </c>
      <c r="I145" s="15">
        <f>Datensätze!N47</f>
        <v>1266.5</v>
      </c>
      <c r="J145" s="9">
        <f>Datensätze!O47</f>
        <v>2533</v>
      </c>
    </row>
    <row r="146" spans="1:10" ht="12.5">
      <c r="A146" s="1" t="str">
        <f>Datensätze!A48</f>
        <v>D-1047</v>
      </c>
      <c r="B146" s="4">
        <f>Datensätze!B48</f>
        <v>45714</v>
      </c>
      <c r="C146" s="1" t="str">
        <f>Datensätze!C48</f>
        <v>Atlas Group</v>
      </c>
      <c r="D146" s="1" t="str">
        <f>Datensätze!K48</f>
        <v>Starter Plan</v>
      </c>
      <c r="E146" s="1" t="str">
        <f>Datensätze!L48</f>
        <v>James Park</v>
      </c>
      <c r="F146" s="1" t="str">
        <f>Datensätze!F48</f>
        <v>Owen Walsh</v>
      </c>
      <c r="G146" s="1" t="str">
        <f>Datensätze!M48</f>
        <v>North America</v>
      </c>
      <c r="H146" s="1">
        <f>Datensätze!H48</f>
        <v>20</v>
      </c>
      <c r="I146" s="15">
        <f>Datensätze!N48</f>
        <v>110.31</v>
      </c>
      <c r="J146" s="9">
        <f>Datensätze!O48</f>
        <v>2206.1999999999998</v>
      </c>
    </row>
    <row r="147" spans="1:10" ht="12.5">
      <c r="A147" s="1" t="str">
        <f>Datensätze!A49</f>
        <v>D-1048</v>
      </c>
      <c r="B147" s="4">
        <f>Datensätze!B49</f>
        <v>45678</v>
      </c>
      <c r="C147" s="1" t="str">
        <f>Datensätze!C49</f>
        <v>Orbit Co</v>
      </c>
      <c r="D147" s="1" t="str">
        <f>Datensätze!K49</f>
        <v>Pro Plan</v>
      </c>
      <c r="E147" s="1" t="str">
        <f>Datensätze!L49</f>
        <v>Priya Patel</v>
      </c>
      <c r="F147" s="1" t="str">
        <f>Datensätze!F49</f>
        <v>Maya Rodriguez</v>
      </c>
      <c r="G147" s="1" t="str">
        <f>Datensätze!M49</f>
        <v>APAC</v>
      </c>
      <c r="H147" s="1">
        <f>Datensätze!H49</f>
        <v>2</v>
      </c>
      <c r="I147" s="15">
        <f>Datensätze!N49</f>
        <v>153.06</v>
      </c>
      <c r="J147" s="9">
        <f>Datensätze!O49</f>
        <v>306.12</v>
      </c>
    </row>
    <row r="148" spans="1:10" ht="12.5">
      <c r="A148" s="1" t="str">
        <f>Datensätze!A50</f>
        <v>D-1049</v>
      </c>
      <c r="B148" s="4">
        <f>Datensätze!B50</f>
        <v>45712</v>
      </c>
      <c r="C148" s="1" t="str">
        <f>Datensätze!C50</f>
        <v>Obsidian Co</v>
      </c>
      <c r="D148" s="1" t="str">
        <f>Datensätze!K50</f>
        <v>Add-on: Analytics</v>
      </c>
      <c r="E148" s="1" t="str">
        <f>Datensätze!L50</f>
        <v>Marcus Johnson</v>
      </c>
      <c r="F148" s="1" t="str">
        <f>Datensätze!F50</f>
        <v>Sarah Chen</v>
      </c>
      <c r="G148" s="1" t="str">
        <f>Datensätze!M50</f>
        <v>North America</v>
      </c>
      <c r="H148" s="1">
        <f>Datensätze!H50</f>
        <v>1</v>
      </c>
      <c r="I148" s="15">
        <f>Datensätze!N50</f>
        <v>67.42</v>
      </c>
      <c r="J148" s="9">
        <f>Datensätze!O50</f>
        <v>67.42</v>
      </c>
    </row>
    <row r="149" spans="1:10" ht="12.5">
      <c r="A149" s="1" t="str">
        <f>Datensätze!A51</f>
        <v>D-1050</v>
      </c>
      <c r="B149" s="4">
        <f>Datensätze!B51</f>
        <v>45700</v>
      </c>
      <c r="C149" s="1" t="str">
        <f>Datensätze!C51</f>
        <v>Atlas Group</v>
      </c>
      <c r="D149" s="1" t="str">
        <f>Datensätze!K51</f>
        <v>Starter Plan</v>
      </c>
      <c r="E149" s="1" t="str">
        <f>Datensätze!L51</f>
        <v>Hannah Lee</v>
      </c>
      <c r="F149" s="1" t="str">
        <f>Datensätze!F51</f>
        <v>Owen Walsh</v>
      </c>
      <c r="G149" s="1" t="str">
        <f>Datensätze!M51</f>
        <v>North America</v>
      </c>
      <c r="H149" s="1">
        <f>Datensätze!H51</f>
        <v>5</v>
      </c>
      <c r="I149" s="15">
        <f>Datensätze!N51</f>
        <v>52.69</v>
      </c>
      <c r="J149" s="9">
        <f>Datensätze!O51</f>
        <v>263.45</v>
      </c>
    </row>
    <row r="150" spans="1:10" ht="12.5">
      <c r="A150" s="1" t="str">
        <f>Datensätze!A52</f>
        <v>D-1051</v>
      </c>
      <c r="B150" s="4">
        <f>Datensätze!B52</f>
        <v>45687</v>
      </c>
      <c r="C150" s="1" t="str">
        <f>Datensätze!C52</f>
        <v>Orbit Co</v>
      </c>
      <c r="D150" s="1" t="str">
        <f>Datensätze!K52</f>
        <v>Enterprise Plan</v>
      </c>
      <c r="E150" s="1" t="str">
        <f>Datensätze!L52</f>
        <v>Elena Rossi</v>
      </c>
      <c r="F150" s="1" t="str">
        <f>Datensätze!F52</f>
        <v>Lukas Becker</v>
      </c>
      <c r="G150" s="1" t="str">
        <f>Datensätze!M52</f>
        <v>APAC</v>
      </c>
      <c r="H150" s="1">
        <f>Datensätze!H52</f>
        <v>2</v>
      </c>
      <c r="I150" s="15">
        <f>Datensätze!N52</f>
        <v>1035.3399999999999</v>
      </c>
      <c r="J150" s="9">
        <f>Datensätze!O52</f>
        <v>2070.6799999999998</v>
      </c>
    </row>
    <row r="151" spans="1:10" ht="12.5">
      <c r="A151" s="1" t="str">
        <f>Datensätze!A53</f>
        <v>D-1052</v>
      </c>
      <c r="B151" s="4">
        <f>Datensätze!B53</f>
        <v>45709</v>
      </c>
      <c r="C151" s="1" t="str">
        <f>Datensätze!C53</f>
        <v>Cascade Group</v>
      </c>
      <c r="D151" s="1" t="str">
        <f>Datensätze!K53</f>
        <v>Business Plan</v>
      </c>
      <c r="E151" s="1" t="str">
        <f>Datensätze!L53</f>
        <v>Sophie Laurent</v>
      </c>
      <c r="F151" s="1" t="str">
        <f>Datensätze!F53</f>
        <v>Maya Rodriguez</v>
      </c>
      <c r="G151" s="1" t="str">
        <f>Datensätze!M53</f>
        <v>EMEA</v>
      </c>
      <c r="H151" s="1">
        <f>Datensätze!H53</f>
        <v>10</v>
      </c>
      <c r="I151" s="15">
        <f>Datensätze!N53</f>
        <v>490.82</v>
      </c>
      <c r="J151" s="9">
        <f>Datensätze!O53</f>
        <v>4908.2</v>
      </c>
    </row>
    <row r="152" spans="1:10" ht="12.5">
      <c r="A152" s="1" t="str">
        <f>Datensätze!A54</f>
        <v>D-1053</v>
      </c>
      <c r="B152" s="4">
        <f>Datensätze!B54</f>
        <v>45740</v>
      </c>
      <c r="C152" s="1" t="str">
        <f>Datensätze!C54</f>
        <v>Foundry Group</v>
      </c>
      <c r="D152" s="1" t="str">
        <f>Datensätze!K54</f>
        <v>Starter Plan</v>
      </c>
      <c r="E152" s="1" t="str">
        <f>Datensätze!L54</f>
        <v>Carlos Mendez</v>
      </c>
      <c r="F152" s="1" t="str">
        <f>Datensätze!F54</f>
        <v>Maya Rodriguez</v>
      </c>
      <c r="G152" s="1" t="str">
        <f>Datensätze!M54</f>
        <v>EMEA</v>
      </c>
      <c r="H152" s="1">
        <f>Datensätze!H54</f>
        <v>50</v>
      </c>
      <c r="I152" s="15">
        <f>Datensätze!N54</f>
        <v>48.49</v>
      </c>
      <c r="J152" s="9">
        <f>Datensätze!O54</f>
        <v>2424.5</v>
      </c>
    </row>
    <row r="153" spans="1:10" ht="12.5">
      <c r="A153" s="1" t="str">
        <f>Datensätze!A55</f>
        <v>D-1054</v>
      </c>
      <c r="B153" s="4">
        <f>Datensätze!B55</f>
        <v>45661</v>
      </c>
      <c r="C153" s="1" t="str">
        <f>Datensätze!C55</f>
        <v>Northwind Co</v>
      </c>
      <c r="D153" s="1" t="str">
        <f>Datensätze!K55</f>
        <v>Enterprise Plan</v>
      </c>
      <c r="E153" s="1" t="str">
        <f>Datensätze!L55</f>
        <v>David Kim</v>
      </c>
      <c r="F153" s="1" t="str">
        <f>Datensätze!F55</f>
        <v>Sarah Chen</v>
      </c>
      <c r="G153" s="1" t="str">
        <f>Datensätze!M55</f>
        <v>EMEA</v>
      </c>
      <c r="H153" s="1">
        <f>Datensätze!H55</f>
        <v>2</v>
      </c>
      <c r="I153" s="15">
        <f>Datensätze!N55</f>
        <v>1182.78</v>
      </c>
      <c r="J153" s="9">
        <f>Datensätze!O55</f>
        <v>2365.56</v>
      </c>
    </row>
    <row r="154" spans="1:10" ht="12.5">
      <c r="A154" s="1" t="str">
        <f>Datensätze!A56</f>
        <v>D-1055</v>
      </c>
      <c r="B154" s="4">
        <f>Datensätze!B56</f>
        <v>45690</v>
      </c>
      <c r="C154" s="1" t="str">
        <f>Datensätze!C56</f>
        <v>Phoenix Co</v>
      </c>
      <c r="D154" s="1" t="str">
        <f>Datensätze!K56</f>
        <v>Starter Plan</v>
      </c>
      <c r="E154" s="1" t="str">
        <f>Datensätze!L56</f>
        <v>Raj Sharma</v>
      </c>
      <c r="F154" s="1" t="str">
        <f>Datensätze!F56</f>
        <v>Owen Walsh</v>
      </c>
      <c r="G154" s="1" t="str">
        <f>Datensätze!M56</f>
        <v>EMEA</v>
      </c>
      <c r="H154" s="1">
        <f>Datensätze!H56</f>
        <v>5</v>
      </c>
      <c r="I154" s="15">
        <f>Datensätze!N56</f>
        <v>42.45</v>
      </c>
      <c r="J154" s="9">
        <f>Datensätze!O56</f>
        <v>212.25</v>
      </c>
    </row>
    <row r="155" spans="1:10" ht="12.5">
      <c r="A155" s="1" t="str">
        <f>Datensätze!A57</f>
        <v>D-1056</v>
      </c>
      <c r="B155" s="4">
        <f>Datensätze!B57</f>
        <v>45715</v>
      </c>
      <c r="C155" s="1" t="str">
        <f>Datensätze!C57</f>
        <v>Orbit Co</v>
      </c>
      <c r="D155" s="1" t="str">
        <f>Datensätze!K57</f>
        <v>Starter Plan</v>
      </c>
      <c r="E155" s="1" t="str">
        <f>Datensätze!L57</f>
        <v>Aisha Hassan</v>
      </c>
      <c r="F155" s="1" t="str">
        <f>Datensätze!F57</f>
        <v>Sarah Chen</v>
      </c>
      <c r="G155" s="1" t="str">
        <f>Datensätze!M57</f>
        <v>LATAM</v>
      </c>
      <c r="H155" s="1">
        <f>Datensätze!H57</f>
        <v>2</v>
      </c>
      <c r="I155" s="15">
        <f>Datensätze!N57</f>
        <v>77.48</v>
      </c>
      <c r="J155" s="9">
        <f>Datensätze!O57</f>
        <v>154.96</v>
      </c>
    </row>
    <row r="156" spans="1:10" ht="12.5">
      <c r="A156" s="1" t="str">
        <f>Datensätze!A58</f>
        <v>D-1057</v>
      </c>
      <c r="B156" s="4">
        <f>Datensätze!B58</f>
        <v>45736</v>
      </c>
      <c r="C156" s="1" t="str">
        <f>Datensätze!C58</f>
        <v>Arcadia Inc</v>
      </c>
      <c r="D156" s="1" t="str">
        <f>Datensätze!K58</f>
        <v>Business Plan</v>
      </c>
      <c r="E156" s="1" t="str">
        <f>Datensätze!L58</f>
        <v>Marcus Johnson</v>
      </c>
      <c r="F156" s="1" t="str">
        <f>Datensätze!F58</f>
        <v>Sarah Chen</v>
      </c>
      <c r="G156" s="1" t="str">
        <f>Datensätze!M58</f>
        <v>EMEA</v>
      </c>
      <c r="H156" s="1">
        <f>Datensätze!H58</f>
        <v>2</v>
      </c>
      <c r="I156" s="15">
        <f>Datensätze!N58</f>
        <v>421.73</v>
      </c>
      <c r="J156" s="9">
        <f>Datensätze!O58</f>
        <v>843.46</v>
      </c>
    </row>
    <row r="157" spans="1:10" ht="12.5">
      <c r="A157" s="1" t="str">
        <f>Datensätze!A59</f>
        <v>D-1058</v>
      </c>
      <c r="B157" s="4">
        <f>Datensätze!B59</f>
        <v>45670</v>
      </c>
      <c r="C157" s="1" t="str">
        <f>Datensätze!C59</f>
        <v>Nimbus Co</v>
      </c>
      <c r="D157" s="1" t="str">
        <f>Datensätze!K59</f>
        <v>Business Plan</v>
      </c>
      <c r="E157" s="1" t="str">
        <f>Datensätze!L59</f>
        <v>Marcus Johnson</v>
      </c>
      <c r="F157" s="1" t="str">
        <f>Datensätze!F59</f>
        <v>Sarah Chen</v>
      </c>
      <c r="G157" s="1" t="str">
        <f>Datensätze!M59</f>
        <v>APAC</v>
      </c>
      <c r="H157" s="1">
        <f>Datensätze!H59</f>
        <v>5</v>
      </c>
      <c r="I157" s="15">
        <f>Datensätze!N59</f>
        <v>422.7</v>
      </c>
      <c r="J157" s="9">
        <f>Datensätze!O59</f>
        <v>2113.5</v>
      </c>
    </row>
    <row r="158" spans="1:10" ht="12.5">
      <c r="A158" s="1" t="str">
        <f>Datensätze!A60</f>
        <v>D-1059</v>
      </c>
      <c r="B158" s="4">
        <f>Datensätze!B60</f>
        <v>45689</v>
      </c>
      <c r="C158" s="1" t="str">
        <f>Datensätze!C60</f>
        <v>Phoenix Co</v>
      </c>
      <c r="D158" s="1" t="str">
        <f>Datensätze!K60</f>
        <v>Add-on: Analytics</v>
      </c>
      <c r="E158" s="1" t="str">
        <f>Datensätze!L60</f>
        <v>Carlos Mendez</v>
      </c>
      <c r="F158" s="1" t="str">
        <f>Datensätze!F60</f>
        <v>Maya Rodriguez</v>
      </c>
      <c r="G158" s="1" t="str">
        <f>Datensätze!M60</f>
        <v>EMEA</v>
      </c>
      <c r="H158" s="1">
        <f>Datensätze!H60</f>
        <v>1</v>
      </c>
      <c r="I158" s="15">
        <f>Datensätze!N60</f>
        <v>104.29</v>
      </c>
      <c r="J158" s="9">
        <f>Datensätze!O60</f>
        <v>104.29</v>
      </c>
    </row>
    <row r="159" spans="1:10" ht="12.5">
      <c r="A159" s="1" t="str">
        <f>Datensätze!A61</f>
        <v>D-1060</v>
      </c>
      <c r="B159" s="4">
        <f>Datensätze!B61</f>
        <v>45727</v>
      </c>
      <c r="C159" s="1" t="str">
        <f>Datensätze!C61</f>
        <v>Meridian Group</v>
      </c>
      <c r="D159" s="1" t="str">
        <f>Datensätze!K61</f>
        <v>Starter Plan</v>
      </c>
      <c r="E159" s="1" t="str">
        <f>Datensätze!L61</f>
        <v>Aisha Hassan</v>
      </c>
      <c r="F159" s="1" t="str">
        <f>Datensätze!F61</f>
        <v>Sarah Chen</v>
      </c>
      <c r="G159" s="1" t="str">
        <f>Datensätze!M61</f>
        <v>APAC</v>
      </c>
      <c r="H159" s="1">
        <f>Datensätze!H61</f>
        <v>5</v>
      </c>
      <c r="I159" s="15">
        <f>Datensätze!N61</f>
        <v>60.18</v>
      </c>
      <c r="J159" s="9">
        <f>Datensätze!O61</f>
        <v>300.89999999999998</v>
      </c>
    </row>
    <row r="160" spans="1:10" ht="12.5">
      <c r="A160" s="1" t="str">
        <f>Datensätze!A62</f>
        <v>D-1061</v>
      </c>
      <c r="B160" s="4">
        <f>Datensätze!B62</f>
        <v>45725</v>
      </c>
      <c r="C160" s="1" t="str">
        <f>Datensätze!C62</f>
        <v>Nimbus Co</v>
      </c>
      <c r="D160" s="1" t="str">
        <f>Datensätze!K62</f>
        <v>Pro Plan</v>
      </c>
      <c r="E160" s="1" t="str">
        <f>Datensätze!L62</f>
        <v>Marcus Johnson</v>
      </c>
      <c r="F160" s="1" t="str">
        <f>Datensätze!F62</f>
        <v>Sarah Chen</v>
      </c>
      <c r="G160" s="1" t="str">
        <f>Datensätze!M62</f>
        <v>EMEA</v>
      </c>
      <c r="H160" s="1">
        <f>Datensätze!H62</f>
        <v>5</v>
      </c>
      <c r="I160" s="15">
        <f>Datensätze!N62</f>
        <v>213.15</v>
      </c>
      <c r="J160" s="9">
        <f>Datensätze!O62</f>
        <v>1065.75</v>
      </c>
    </row>
    <row r="161" spans="1:10" ht="12.5">
      <c r="A161" s="1" t="str">
        <f>Datensätze!A63</f>
        <v>D-1062</v>
      </c>
      <c r="B161" s="4">
        <f>Datensätze!B63</f>
        <v>45682</v>
      </c>
      <c r="C161" s="1" t="str">
        <f>Datensätze!C63</f>
        <v>Onyx Group</v>
      </c>
      <c r="D161" s="1" t="str">
        <f>Datensätze!K63</f>
        <v>Starter Plan</v>
      </c>
      <c r="E161" s="1" t="str">
        <f>Datensätze!L63</f>
        <v>Sophie Laurent</v>
      </c>
      <c r="F161" s="1" t="str">
        <f>Datensätze!F63</f>
        <v>Maya Rodriguez</v>
      </c>
      <c r="G161" s="1" t="str">
        <f>Datensätze!M63</f>
        <v>North America</v>
      </c>
      <c r="H161" s="1">
        <f>Datensätze!H63</f>
        <v>10</v>
      </c>
      <c r="I161" s="15">
        <f>Datensätze!N63</f>
        <v>53.37</v>
      </c>
      <c r="J161" s="9">
        <f>Datensätze!O63</f>
        <v>533.69999999999993</v>
      </c>
    </row>
    <row r="162" spans="1:10" ht="12.5">
      <c r="A162" s="1" t="str">
        <f>Datensätze!A64</f>
        <v>D-1063</v>
      </c>
      <c r="B162" s="4">
        <f>Datensätze!B64</f>
        <v>45664</v>
      </c>
      <c r="C162" s="1" t="str">
        <f>Datensätze!C64</f>
        <v>Granite Co</v>
      </c>
      <c r="D162" s="1" t="str">
        <f>Datensätze!K64</f>
        <v>Add-on: Support</v>
      </c>
      <c r="E162" s="1" t="str">
        <f>Datensätze!L64</f>
        <v>Marcus Johnson</v>
      </c>
      <c r="F162" s="1" t="str">
        <f>Datensätze!F64</f>
        <v>Sarah Chen</v>
      </c>
      <c r="G162" s="1" t="str">
        <f>Datensätze!M64</f>
        <v>North America</v>
      </c>
      <c r="H162" s="1">
        <f>Datensätze!H64</f>
        <v>1</v>
      </c>
      <c r="I162" s="15">
        <f>Datensätze!N64</f>
        <v>93.27</v>
      </c>
      <c r="J162" s="9">
        <f>Datensätze!O64</f>
        <v>93.27</v>
      </c>
    </row>
    <row r="163" spans="1:10" ht="12.5">
      <c r="A163" s="1" t="str">
        <f>Datensätze!A65</f>
        <v>D-1064</v>
      </c>
      <c r="B163" s="4">
        <f>Datensätze!B65</f>
        <v>45683</v>
      </c>
      <c r="C163" s="1" t="str">
        <f>Datensätze!C65</f>
        <v>Solstice Group</v>
      </c>
      <c r="D163" s="1" t="str">
        <f>Datensätze!K65</f>
        <v>Business Plan</v>
      </c>
      <c r="E163" s="1" t="str">
        <f>Datensätze!L65</f>
        <v>Elena Rossi</v>
      </c>
      <c r="F163" s="1" t="str">
        <f>Datensätze!F65</f>
        <v>Lukas Becker</v>
      </c>
      <c r="G163" s="1" t="str">
        <f>Datensätze!M65</f>
        <v>APAC</v>
      </c>
      <c r="H163" s="1">
        <f>Datensätze!H65</f>
        <v>1</v>
      </c>
      <c r="I163" s="15">
        <f>Datensätze!N65</f>
        <v>61.21</v>
      </c>
      <c r="J163" s="9">
        <f>Datensätze!O65</f>
        <v>61.21</v>
      </c>
    </row>
    <row r="164" spans="1:10" ht="12.5">
      <c r="A164" s="1" t="str">
        <f>Datensätze!A66</f>
        <v>D-1065</v>
      </c>
      <c r="B164" s="4">
        <f>Datensätze!B66</f>
        <v>45725</v>
      </c>
      <c r="C164" s="1" t="str">
        <f>Datensätze!C66</f>
        <v>Borealis Co</v>
      </c>
      <c r="D164" s="1" t="str">
        <f>Datensätze!K66</f>
        <v>Starter Plan</v>
      </c>
      <c r="E164" s="1" t="str">
        <f>Datensätze!L66</f>
        <v>Tom Wilson</v>
      </c>
      <c r="F164" s="1" t="str">
        <f>Datensätze!F66</f>
        <v>Lukas Becker</v>
      </c>
      <c r="G164" s="1" t="str">
        <f>Datensätze!M66</f>
        <v>APAC</v>
      </c>
      <c r="H164" s="1">
        <f>Datensätze!H66</f>
        <v>2</v>
      </c>
      <c r="I164" s="15">
        <f>Datensätze!N66</f>
        <v>67.86</v>
      </c>
      <c r="J164" s="9">
        <f>Datensätze!O66</f>
        <v>135.72</v>
      </c>
    </row>
    <row r="165" spans="1:10" ht="12.5">
      <c r="A165" s="1" t="str">
        <f>Datensätze!A67</f>
        <v>D-1066</v>
      </c>
      <c r="B165" s="4">
        <f>Datensätze!B67</f>
        <v>45668</v>
      </c>
      <c r="C165" s="1" t="str">
        <f>Datensätze!C67</f>
        <v>Cascade Group</v>
      </c>
      <c r="D165" s="1" t="str">
        <f>Datensätze!K67</f>
        <v>Pro Plan</v>
      </c>
      <c r="E165" s="1" t="str">
        <f>Datensätze!L67</f>
        <v>David Kim</v>
      </c>
      <c r="F165" s="1" t="str">
        <f>Datensätze!F67</f>
        <v>Sarah Chen</v>
      </c>
      <c r="G165" s="1" t="str">
        <f>Datensätze!M67</f>
        <v>EMEA</v>
      </c>
      <c r="H165" s="1">
        <f>Datensätze!H67</f>
        <v>2</v>
      </c>
      <c r="I165" s="15">
        <f>Datensätze!N67</f>
        <v>171.17</v>
      </c>
      <c r="J165" s="9">
        <f>Datensätze!O67</f>
        <v>342.34</v>
      </c>
    </row>
    <row r="166" spans="1:10" ht="12.5">
      <c r="A166" s="1" t="str">
        <f>Datensätze!A68</f>
        <v>D-1067</v>
      </c>
      <c r="B166" s="4">
        <f>Datensätze!B68</f>
        <v>45677</v>
      </c>
      <c r="C166" s="1" t="str">
        <f>Datensätze!C68</f>
        <v>Onyx Group</v>
      </c>
      <c r="D166" s="1" t="str">
        <f>Datensätze!K68</f>
        <v>Starter Plan</v>
      </c>
      <c r="E166" s="1" t="str">
        <f>Datensätze!L68</f>
        <v>Raj Sharma</v>
      </c>
      <c r="F166" s="1" t="str">
        <f>Datensätze!F68</f>
        <v>Owen Walsh</v>
      </c>
      <c r="G166" s="1" t="str">
        <f>Datensätze!M68</f>
        <v>LATAM</v>
      </c>
      <c r="H166" s="1">
        <f>Datensätze!H68</f>
        <v>20</v>
      </c>
      <c r="I166" s="15">
        <f>Datensätze!N68</f>
        <v>49.8</v>
      </c>
      <c r="J166" s="9">
        <f>Datensätze!O68</f>
        <v>996</v>
      </c>
    </row>
    <row r="167" spans="1:10" ht="12.5">
      <c r="A167" s="1" t="str">
        <f>Datensätze!A69</f>
        <v>D-1068</v>
      </c>
      <c r="B167" s="4">
        <f>Datensätze!B69</f>
        <v>45690</v>
      </c>
      <c r="C167" s="1" t="str">
        <f>Datensätze!C69</f>
        <v>Phoenix Co</v>
      </c>
      <c r="D167" s="1" t="str">
        <f>Datensätze!K69</f>
        <v>Starter Plan</v>
      </c>
      <c r="E167" s="1" t="str">
        <f>Datensätze!L69</f>
        <v>Hannah Lee</v>
      </c>
      <c r="F167" s="1" t="str">
        <f>Datensätze!F69</f>
        <v>Owen Walsh</v>
      </c>
      <c r="G167" s="1" t="str">
        <f>Datensätze!M69</f>
        <v>North America</v>
      </c>
      <c r="H167" s="1">
        <f>Datensätze!H69</f>
        <v>1</v>
      </c>
      <c r="I167" s="15">
        <f>Datensätze!N69</f>
        <v>53.74</v>
      </c>
      <c r="J167" s="9">
        <f>Datensätze!O69</f>
        <v>53.74</v>
      </c>
    </row>
    <row r="168" spans="1:10" ht="12.5">
      <c r="A168" s="1" t="str">
        <f>Datensätze!A70</f>
        <v>D-1069</v>
      </c>
      <c r="B168" s="4">
        <f>Datensätze!B70</f>
        <v>45746</v>
      </c>
      <c r="C168" s="1" t="str">
        <f>Datensätze!C70</f>
        <v>Granite Co</v>
      </c>
      <c r="D168" s="1" t="str">
        <f>Datensätze!K70</f>
        <v>Business Plan</v>
      </c>
      <c r="E168" s="1" t="str">
        <f>Datensätze!L70</f>
        <v>Hannah Lee</v>
      </c>
      <c r="F168" s="1" t="str">
        <f>Datensätze!F70</f>
        <v>Owen Walsh</v>
      </c>
      <c r="G168" s="1" t="str">
        <f>Datensätze!M70</f>
        <v>North America</v>
      </c>
      <c r="H168" s="1">
        <f>Datensätze!H70</f>
        <v>1</v>
      </c>
      <c r="I168" s="15">
        <f>Datensätze!N70</f>
        <v>415.38</v>
      </c>
      <c r="J168" s="9">
        <f>Datensätze!O70</f>
        <v>415.38</v>
      </c>
    </row>
    <row r="169" spans="1:10" ht="12.5">
      <c r="A169" s="1" t="str">
        <f>Datensätze!A71</f>
        <v>D-1070</v>
      </c>
      <c r="B169" s="4">
        <f>Datensätze!B71</f>
        <v>45740</v>
      </c>
      <c r="C169" s="1" t="str">
        <f>Datensätze!C71</f>
        <v>Obsidian Co</v>
      </c>
      <c r="D169" s="1" t="str">
        <f>Datensätze!K71</f>
        <v>Pro Plan</v>
      </c>
      <c r="E169" s="1" t="str">
        <f>Datensätze!L71</f>
        <v>Raj Sharma</v>
      </c>
      <c r="F169" s="1" t="str">
        <f>Datensätze!F71</f>
        <v>Owen Walsh</v>
      </c>
      <c r="G169" s="1" t="str">
        <f>Datensätze!M71</f>
        <v>APAC</v>
      </c>
      <c r="H169" s="1">
        <f>Datensätze!H71</f>
        <v>20</v>
      </c>
      <c r="I169" s="15">
        <f>Datensätze!N71</f>
        <v>265.14999999999998</v>
      </c>
      <c r="J169" s="9">
        <f>Datensätze!O71</f>
        <v>5303</v>
      </c>
    </row>
    <row r="170" spans="1:10" ht="12.5">
      <c r="A170" s="1" t="str">
        <f>Datensätze!A72</f>
        <v>D-1071</v>
      </c>
      <c r="B170" s="4">
        <f>Datensätze!B72</f>
        <v>45662</v>
      </c>
      <c r="C170" s="1" t="str">
        <f>Datensätze!C72</f>
        <v>Apex Group</v>
      </c>
      <c r="D170" s="1" t="str">
        <f>Datensätze!K72</f>
        <v>Business Plan</v>
      </c>
      <c r="E170" s="1" t="str">
        <f>Datensätze!L72</f>
        <v>David Kim</v>
      </c>
      <c r="F170" s="1" t="str">
        <f>Datensätze!F72</f>
        <v>Sarah Chen</v>
      </c>
      <c r="G170" s="1" t="str">
        <f>Datensätze!M72</f>
        <v>APAC</v>
      </c>
      <c r="H170" s="1">
        <f>Datensätze!H72</f>
        <v>1</v>
      </c>
      <c r="I170" s="15">
        <f>Datensätze!N72</f>
        <v>386.52</v>
      </c>
      <c r="J170" s="9">
        <f>Datensätze!O72</f>
        <v>386.52</v>
      </c>
    </row>
    <row r="171" spans="1:10" ht="12.5">
      <c r="A171" s="1" t="str">
        <f>Datensätze!A73</f>
        <v>D-1072</v>
      </c>
      <c r="B171" s="4">
        <f>Datensätze!B73</f>
        <v>45737</v>
      </c>
      <c r="C171" s="1" t="str">
        <f>Datensätze!C73</f>
        <v>Northwind Co</v>
      </c>
      <c r="D171" s="1" t="str">
        <f>Datensätze!K73</f>
        <v>Pro Plan</v>
      </c>
      <c r="E171" s="1" t="str">
        <f>Datensätze!L73</f>
        <v>Aisha Hassan</v>
      </c>
      <c r="F171" s="1" t="str">
        <f>Datensätze!F73</f>
        <v>Sarah Chen</v>
      </c>
      <c r="G171" s="1" t="str">
        <f>Datensätze!M73</f>
        <v>APAC</v>
      </c>
      <c r="H171" s="1">
        <f>Datensätze!H73</f>
        <v>1</v>
      </c>
      <c r="I171" s="15">
        <f>Datensätze!N73</f>
        <v>196.02</v>
      </c>
      <c r="J171" s="9">
        <f>Datensätze!O73</f>
        <v>196.02</v>
      </c>
    </row>
    <row r="172" spans="1:10" ht="12.5">
      <c r="A172" s="1" t="str">
        <f>Datensätze!A74</f>
        <v>D-1073</v>
      </c>
      <c r="B172" s="4">
        <f>Datensätze!B74</f>
        <v>45691</v>
      </c>
      <c r="C172" s="1" t="str">
        <f>Datensätze!C74</f>
        <v>Harbor Inc</v>
      </c>
      <c r="D172" s="1" t="str">
        <f>Datensätze!K74</f>
        <v>Pro Plan</v>
      </c>
      <c r="E172" s="1" t="str">
        <f>Datensätze!L74</f>
        <v>David Kim</v>
      </c>
      <c r="F172" s="1" t="str">
        <f>Datensätze!F74</f>
        <v>Sarah Chen</v>
      </c>
      <c r="G172" s="1" t="str">
        <f>Datensätze!M74</f>
        <v>EMEA</v>
      </c>
      <c r="H172" s="1">
        <f>Datensätze!H74</f>
        <v>2</v>
      </c>
      <c r="I172" s="15">
        <f>Datensätze!N74</f>
        <v>240.29</v>
      </c>
      <c r="J172" s="9">
        <f>Datensätze!O74</f>
        <v>480.58</v>
      </c>
    </row>
    <row r="173" spans="1:10" ht="12.5">
      <c r="A173" s="1" t="str">
        <f>Datensätze!A75</f>
        <v>D-1074</v>
      </c>
      <c r="B173" s="4">
        <f>Datensätze!B75</f>
        <v>45714</v>
      </c>
      <c r="C173" s="1" t="str">
        <f>Datensätze!C75</f>
        <v>Cascade Group</v>
      </c>
      <c r="D173" s="1" t="str">
        <f>Datensätze!K75</f>
        <v>Starter Plan</v>
      </c>
      <c r="E173" s="1" t="str">
        <f>Datensätze!L75</f>
        <v>Marcus Johnson</v>
      </c>
      <c r="F173" s="1" t="str">
        <f>Datensätze!F75</f>
        <v>Sarah Chen</v>
      </c>
      <c r="G173" s="1" t="str">
        <f>Datensätze!M75</f>
        <v>LATAM</v>
      </c>
      <c r="H173" s="1">
        <f>Datensätze!H75</f>
        <v>1</v>
      </c>
      <c r="I173" s="15">
        <f>Datensätze!N75</f>
        <v>70.58</v>
      </c>
      <c r="J173" s="9">
        <f>Datensätze!O75</f>
        <v>70.58</v>
      </c>
    </row>
    <row r="174" spans="1:10" ht="12.5">
      <c r="A174" s="1" t="str">
        <f>Datensätze!A76</f>
        <v>D-1075</v>
      </c>
      <c r="B174" s="4">
        <f>Datensätze!B76</f>
        <v>45671</v>
      </c>
      <c r="C174" s="1" t="str">
        <f>Datensätze!C76</f>
        <v>Beacon Labs</v>
      </c>
      <c r="D174" s="1" t="str">
        <f>Datensätze!K76</f>
        <v>Pro Plan</v>
      </c>
      <c r="E174" s="1" t="str">
        <f>Datensätze!L76</f>
        <v>Carlos Mendez</v>
      </c>
      <c r="F174" s="1" t="str">
        <f>Datensätze!F76</f>
        <v>Maya Rodriguez</v>
      </c>
      <c r="G174" s="1" t="str">
        <f>Datensätze!M76</f>
        <v>APAC</v>
      </c>
      <c r="H174" s="1">
        <f>Datensätze!H76</f>
        <v>5</v>
      </c>
      <c r="I174" s="15">
        <f>Datensätze!N76</f>
        <v>230.19</v>
      </c>
      <c r="J174" s="9">
        <f>Datensätze!O76</f>
        <v>1150.95</v>
      </c>
    </row>
    <row r="175" spans="1:10" ht="12.5">
      <c r="A175" s="1" t="str">
        <f>Datensätze!A77</f>
        <v>D-1076</v>
      </c>
      <c r="B175" s="4">
        <f>Datensätze!B77</f>
        <v>45716</v>
      </c>
      <c r="C175" s="1" t="str">
        <f>Datensätze!C77</f>
        <v>Fusion Group</v>
      </c>
      <c r="D175" s="1" t="str">
        <f>Datensätze!K77</f>
        <v>Pro Plan</v>
      </c>
      <c r="E175" s="1" t="str">
        <f>Datensätze!L77</f>
        <v>James Park</v>
      </c>
      <c r="F175" s="1" t="str">
        <f>Datensätze!F77</f>
        <v>Owen Walsh</v>
      </c>
      <c r="G175" s="1" t="str">
        <f>Datensätze!M77</f>
        <v>APAC</v>
      </c>
      <c r="H175" s="1">
        <f>Datensätze!H77</f>
        <v>1</v>
      </c>
      <c r="I175" s="15">
        <f>Datensätze!N77</f>
        <v>288.79000000000002</v>
      </c>
      <c r="J175" s="9">
        <f>Datensätze!O77</f>
        <v>288.79000000000002</v>
      </c>
    </row>
    <row r="176" spans="1:10" ht="12.5">
      <c r="A176" s="1" t="str">
        <f>Datensätze!A78</f>
        <v>D-1077</v>
      </c>
      <c r="B176" s="4">
        <f>Datensätze!B78</f>
        <v>45730</v>
      </c>
      <c r="C176" s="1" t="str">
        <f>Datensätze!C78</f>
        <v>Rivet Co</v>
      </c>
      <c r="D176" s="1" t="str">
        <f>Datensätze!K78</f>
        <v>Pro Plan</v>
      </c>
      <c r="E176" s="1" t="str">
        <f>Datensätze!L78</f>
        <v>Tom Wilson</v>
      </c>
      <c r="F176" s="1" t="str">
        <f>Datensätze!F78</f>
        <v>Lukas Becker</v>
      </c>
      <c r="G176" s="1" t="str">
        <f>Datensätze!M78</f>
        <v>LATAM</v>
      </c>
      <c r="H176" s="1">
        <f>Datensätze!H78</f>
        <v>1</v>
      </c>
      <c r="I176" s="15">
        <f>Datensätze!N78</f>
        <v>152.97999999999999</v>
      </c>
      <c r="J176" s="9">
        <f>Datensätze!O78</f>
        <v>152.97999999999999</v>
      </c>
    </row>
    <row r="177" spans="1:10" ht="12.5">
      <c r="A177" s="1" t="str">
        <f>Datensätze!A79</f>
        <v>D-1078</v>
      </c>
      <c r="B177" s="4">
        <f>Datensätze!B79</f>
        <v>45733</v>
      </c>
      <c r="C177" s="1" t="str">
        <f>Datensätze!C79</f>
        <v>Catalyst Inc</v>
      </c>
      <c r="D177" s="1" t="str">
        <f>Datensätze!K79</f>
        <v>Add-on: Analytics</v>
      </c>
      <c r="E177" s="1" t="str">
        <f>Datensätze!L79</f>
        <v>Marcus Johnson</v>
      </c>
      <c r="F177" s="1" t="str">
        <f>Datensätze!F79</f>
        <v>Sarah Chen</v>
      </c>
      <c r="G177" s="1" t="str">
        <f>Datensätze!M79</f>
        <v>EMEA</v>
      </c>
      <c r="H177" s="1">
        <f>Datensätze!H79</f>
        <v>2</v>
      </c>
      <c r="I177" s="15">
        <f>Datensätze!N79</f>
        <v>99.78</v>
      </c>
      <c r="J177" s="9">
        <f>Datensätze!O79</f>
        <v>199.56</v>
      </c>
    </row>
    <row r="178" spans="1:10" ht="12.5">
      <c r="A178" s="1" t="str">
        <f>Datensätze!A80</f>
        <v>D-1079</v>
      </c>
      <c r="B178" s="4">
        <f>Datensätze!B80</f>
        <v>45671</v>
      </c>
      <c r="C178" s="1" t="str">
        <f>Datensätze!C80</f>
        <v>Onyx Group</v>
      </c>
      <c r="D178" s="1" t="str">
        <f>Datensätze!K80</f>
        <v>Starter Plan</v>
      </c>
      <c r="E178" s="1" t="str">
        <f>Datensätze!L80</f>
        <v>Nina Petrov</v>
      </c>
      <c r="F178" s="1" t="str">
        <f>Datensätze!F80</f>
        <v>Lukas Becker</v>
      </c>
      <c r="G178" s="1" t="str">
        <f>Datensätze!M80</f>
        <v>North America</v>
      </c>
      <c r="H178" s="1">
        <f>Datensätze!H80</f>
        <v>1</v>
      </c>
      <c r="I178" s="15">
        <f>Datensätze!N80</f>
        <v>66.709999999999994</v>
      </c>
      <c r="J178" s="9">
        <f>Datensätze!O80</f>
        <v>66.709999999999994</v>
      </c>
    </row>
    <row r="179" spans="1:10" ht="12.5">
      <c r="A179" s="1" t="str">
        <f>Datensätze!A81</f>
        <v>D-1080</v>
      </c>
      <c r="B179" s="4">
        <f>Datensätze!B81</f>
        <v>45746</v>
      </c>
      <c r="C179" s="1" t="str">
        <f>Datensätze!C81</f>
        <v>Verdant Inc</v>
      </c>
      <c r="D179" s="1" t="str">
        <f>Datensätze!K81</f>
        <v>Enterprise Plan</v>
      </c>
      <c r="E179" s="1" t="str">
        <f>Datensätze!L81</f>
        <v>Marcus Johnson</v>
      </c>
      <c r="F179" s="1" t="str">
        <f>Datensätze!F81</f>
        <v>Sarah Chen</v>
      </c>
      <c r="G179" s="1" t="str">
        <f>Datensätze!M81</f>
        <v>LATAM</v>
      </c>
      <c r="H179" s="1">
        <f>Datensätze!H81</f>
        <v>1</v>
      </c>
      <c r="I179" s="15">
        <f>Datensätze!N81</f>
        <v>967.42</v>
      </c>
      <c r="J179" s="9">
        <f>Datensätze!O81</f>
        <v>967.42</v>
      </c>
    </row>
    <row r="180" spans="1:10" ht="12.5">
      <c r="A180" s="1" t="str">
        <f>Datensätze!A82</f>
        <v>D-1081</v>
      </c>
      <c r="B180" s="4">
        <f>Datensätze!B82</f>
        <v>45711</v>
      </c>
      <c r="C180" s="1" t="str">
        <f>Datensätze!C82</f>
        <v>Northwind Co</v>
      </c>
      <c r="D180" s="1" t="str">
        <f>Datensätze!K82</f>
        <v>Business Plan</v>
      </c>
      <c r="E180" s="1" t="str">
        <f>Datensätze!L82</f>
        <v>David Kim</v>
      </c>
      <c r="F180" s="1" t="str">
        <f>Datensätze!F82</f>
        <v>Sarah Chen</v>
      </c>
      <c r="G180" s="1" t="str">
        <f>Datensätze!M82</f>
        <v>EMEA</v>
      </c>
      <c r="H180" s="1">
        <f>Datensätze!H82</f>
        <v>1</v>
      </c>
      <c r="I180" s="15">
        <f>Datensätze!N82</f>
        <v>377.71</v>
      </c>
      <c r="J180" s="9">
        <f>Datensätze!O82</f>
        <v>377.71</v>
      </c>
    </row>
    <row r="181" spans="1:10" ht="12.5">
      <c r="A181" s="1" t="str">
        <f>Datensätze!A83</f>
        <v>D-1082</v>
      </c>
      <c r="B181" s="4">
        <f>Datensätze!B83</f>
        <v>45678</v>
      </c>
      <c r="C181" s="1" t="str">
        <f>Datensätze!C83</f>
        <v>Meridian Group</v>
      </c>
      <c r="D181" s="1" t="str">
        <f>Datensätze!K83</f>
        <v>Starter Plan</v>
      </c>
      <c r="E181" s="1" t="str">
        <f>Datensätze!L83</f>
        <v>Priya Patel</v>
      </c>
      <c r="F181" s="1" t="str">
        <f>Datensätze!F83</f>
        <v>Maya Rodriguez</v>
      </c>
      <c r="G181" s="1" t="str">
        <f>Datensätze!M83</f>
        <v>North America</v>
      </c>
      <c r="H181" s="1">
        <f>Datensätze!H83</f>
        <v>1</v>
      </c>
      <c r="I181" s="15">
        <f>Datensätze!N83</f>
        <v>73.95</v>
      </c>
      <c r="J181" s="9">
        <f>Datensätze!O83</f>
        <v>73.95</v>
      </c>
    </row>
    <row r="182" spans="1:10" ht="12.5">
      <c r="A182" s="1" t="str">
        <f>Datensätze!A84</f>
        <v>D-1083</v>
      </c>
      <c r="B182" s="4">
        <f>Datensätze!B84</f>
        <v>45690</v>
      </c>
      <c r="C182" s="1" t="str">
        <f>Datensätze!C84</f>
        <v>Orbit Co</v>
      </c>
      <c r="D182" s="1" t="str">
        <f>Datensätze!K84</f>
        <v>Business Plan</v>
      </c>
      <c r="E182" s="1" t="str">
        <f>Datensätze!L84</f>
        <v>Hannah Lee</v>
      </c>
      <c r="F182" s="1" t="str">
        <f>Datensätze!F84</f>
        <v>Owen Walsh</v>
      </c>
      <c r="G182" s="1" t="str">
        <f>Datensätze!M84</f>
        <v>APAC</v>
      </c>
      <c r="H182" s="1">
        <f>Datensätze!H84</f>
        <v>5</v>
      </c>
      <c r="I182" s="15">
        <f>Datensätze!N84</f>
        <v>474.26</v>
      </c>
      <c r="J182" s="9">
        <f>Datensätze!O84</f>
        <v>2371.3000000000002</v>
      </c>
    </row>
    <row r="183" spans="1:10" ht="12.5">
      <c r="A183" s="1" t="str">
        <f>Datensätze!A85</f>
        <v>D-1084</v>
      </c>
      <c r="B183" s="4">
        <f>Datensätze!B85</f>
        <v>45722</v>
      </c>
      <c r="C183" s="1" t="str">
        <f>Datensätze!C85</f>
        <v>Verdant Inc</v>
      </c>
      <c r="D183" s="1" t="str">
        <f>Datensätze!K85</f>
        <v>Starter Plan</v>
      </c>
      <c r="E183" s="1" t="str">
        <f>Datensätze!L85</f>
        <v>Carlos Mendez</v>
      </c>
      <c r="F183" s="1" t="str">
        <f>Datensätze!F85</f>
        <v>Maya Rodriguez</v>
      </c>
      <c r="G183" s="1" t="str">
        <f>Datensätze!M85</f>
        <v>LATAM</v>
      </c>
      <c r="H183" s="1">
        <f>Datensätze!H85</f>
        <v>2</v>
      </c>
      <c r="I183" s="15">
        <f>Datensätze!N85</f>
        <v>48.7</v>
      </c>
      <c r="J183" s="9">
        <f>Datensätze!O85</f>
        <v>97.4</v>
      </c>
    </row>
    <row r="184" spans="1:10" ht="12.5">
      <c r="A184" s="1" t="str">
        <f>Datensätze!A86</f>
        <v>D-1085</v>
      </c>
      <c r="B184" s="4">
        <f>Datensätze!B86</f>
        <v>45677</v>
      </c>
      <c r="C184" s="1" t="str">
        <f>Datensätze!C86</f>
        <v>Solstice Group</v>
      </c>
      <c r="D184" s="1" t="str">
        <f>Datensätze!K86</f>
        <v>Starter Plan</v>
      </c>
      <c r="E184" s="1" t="str">
        <f>Datensätze!L86</f>
        <v>David Kim</v>
      </c>
      <c r="F184" s="1" t="str">
        <f>Datensätze!F86</f>
        <v>Sarah Chen</v>
      </c>
      <c r="G184" s="1" t="str">
        <f>Datensätze!M86</f>
        <v>LATAM</v>
      </c>
      <c r="H184" s="1">
        <f>Datensätze!H86</f>
        <v>5</v>
      </c>
      <c r="I184" s="15">
        <f>Datensätze!N86</f>
        <v>58.38</v>
      </c>
      <c r="J184" s="9">
        <f>Datensätze!O86</f>
        <v>291.90000000000003</v>
      </c>
    </row>
    <row r="185" spans="1:10" ht="12.5">
      <c r="A185" s="1" t="str">
        <f>Datensätze!A87</f>
        <v>D-1086</v>
      </c>
      <c r="B185" s="4">
        <f>Datensätze!B87</f>
        <v>45724</v>
      </c>
      <c r="C185" s="1" t="str">
        <f>Datensätze!C87</f>
        <v>Lattice Co</v>
      </c>
      <c r="D185" s="1" t="str">
        <f>Datensätze!K87</f>
        <v>Pro Plan</v>
      </c>
      <c r="E185" s="1" t="str">
        <f>Datensätze!L87</f>
        <v>Aisha Hassan</v>
      </c>
      <c r="F185" s="1" t="str">
        <f>Datensätze!F87</f>
        <v>Sarah Chen</v>
      </c>
      <c r="G185" s="1" t="str">
        <f>Datensätze!M87</f>
        <v>APAC</v>
      </c>
      <c r="H185" s="1">
        <f>Datensätze!H87</f>
        <v>1</v>
      </c>
      <c r="I185" s="15">
        <f>Datensätze!N87</f>
        <v>203.26</v>
      </c>
      <c r="J185" s="9">
        <f>Datensätze!O87</f>
        <v>203.26</v>
      </c>
    </row>
    <row r="186" spans="1:10" ht="12.5">
      <c r="A186" s="1" t="str">
        <f>Datensätze!A88</f>
        <v>D-1087</v>
      </c>
      <c r="B186" s="4">
        <f>Datensätze!B88</f>
        <v>45709</v>
      </c>
      <c r="C186" s="1" t="str">
        <f>Datensätze!C88</f>
        <v>Stellar Co</v>
      </c>
      <c r="D186" s="1" t="str">
        <f>Datensätze!K88</f>
        <v>Business Plan</v>
      </c>
      <c r="E186" s="1" t="str">
        <f>Datensätze!L88</f>
        <v>Marcus Johnson</v>
      </c>
      <c r="F186" s="1" t="str">
        <f>Datensätze!F88</f>
        <v>Sarah Chen</v>
      </c>
      <c r="G186" s="1" t="str">
        <f>Datensätze!M88</f>
        <v>EMEA</v>
      </c>
      <c r="H186" s="1">
        <f>Datensätze!H88</f>
        <v>2</v>
      </c>
      <c r="I186" s="15">
        <f>Datensätze!N88</f>
        <v>400.66</v>
      </c>
      <c r="J186" s="9">
        <f>Datensätze!O88</f>
        <v>801.32</v>
      </c>
    </row>
    <row r="187" spans="1:10" ht="12.5">
      <c r="A187" s="1" t="str">
        <f>Datensätze!A89</f>
        <v>D-1088</v>
      </c>
      <c r="B187" s="4">
        <f>Datensätze!B89</f>
        <v>45658</v>
      </c>
      <c r="C187" s="1" t="str">
        <f>Datensätze!C89</f>
        <v>Helix Systems</v>
      </c>
      <c r="D187" s="1" t="str">
        <f>Datensätze!K89</f>
        <v>Starter Plan</v>
      </c>
      <c r="E187" s="1" t="str">
        <f>Datensätze!L89</f>
        <v>Nina Petrov</v>
      </c>
      <c r="F187" s="1" t="str">
        <f>Datensätze!F89</f>
        <v>Lukas Becker</v>
      </c>
      <c r="G187" s="1" t="str">
        <f>Datensätze!M89</f>
        <v>North America</v>
      </c>
      <c r="H187" s="1">
        <f>Datensätze!H89</f>
        <v>2</v>
      </c>
      <c r="I187" s="15">
        <f>Datensätze!N89</f>
        <v>44.27</v>
      </c>
      <c r="J187" s="9">
        <f>Datensätze!O89</f>
        <v>88.54</v>
      </c>
    </row>
    <row r="188" spans="1:10" ht="12.5">
      <c r="A188" s="1" t="str">
        <f>Datensätze!A90</f>
        <v>D-1089</v>
      </c>
      <c r="B188" s="4">
        <f>Datensätze!B90</f>
        <v>45691</v>
      </c>
      <c r="C188" s="1" t="str">
        <f>Datensätze!C90</f>
        <v>Kestrel Co</v>
      </c>
      <c r="D188" s="1" t="str">
        <f>Datensätze!K90</f>
        <v>Enterprise Plan</v>
      </c>
      <c r="E188" s="1" t="str">
        <f>Datensätze!L90</f>
        <v>Aisha Hassan</v>
      </c>
      <c r="F188" s="1" t="str">
        <f>Datensätze!F90</f>
        <v>Sarah Chen</v>
      </c>
      <c r="G188" s="1" t="str">
        <f>Datensätze!M90</f>
        <v>North America</v>
      </c>
      <c r="H188" s="1">
        <f>Datensätze!H90</f>
        <v>1</v>
      </c>
      <c r="I188" s="15">
        <f>Datensätze!N90</f>
        <v>973.3</v>
      </c>
      <c r="J188" s="9">
        <f>Datensätze!O90</f>
        <v>973.3</v>
      </c>
    </row>
    <row r="189" spans="1:10" ht="12.5">
      <c r="A189" s="1" t="str">
        <f>Datensätze!A91</f>
        <v>D-1090</v>
      </c>
      <c r="B189" s="4">
        <f>Datensätze!B91</f>
        <v>45736</v>
      </c>
      <c r="C189" s="1" t="str">
        <f>Datensätze!C91</f>
        <v>Obsidian Co</v>
      </c>
      <c r="D189" s="1" t="str">
        <f>Datensätze!K91</f>
        <v>Starter Plan</v>
      </c>
      <c r="E189" s="1" t="str">
        <f>Datensätze!L91</f>
        <v>Elena Rossi</v>
      </c>
      <c r="F189" s="1" t="str">
        <f>Datensätze!F91</f>
        <v>Lukas Becker</v>
      </c>
      <c r="G189" s="1" t="str">
        <f>Datensätze!M91</f>
        <v>APAC</v>
      </c>
      <c r="H189" s="1">
        <f>Datensätze!H91</f>
        <v>5</v>
      </c>
      <c r="I189" s="15">
        <f>Datensätze!N91</f>
        <v>47.6</v>
      </c>
      <c r="J189" s="9">
        <f>Datensätze!O91</f>
        <v>238</v>
      </c>
    </row>
    <row r="190" spans="1:10" ht="12.5">
      <c r="A190" s="1" t="str">
        <f>Datensätze!A92</f>
        <v>D-1091</v>
      </c>
      <c r="B190" s="4">
        <f>Datensätze!B92</f>
        <v>45663</v>
      </c>
      <c r="C190" s="1" t="str">
        <f>Datensätze!C92</f>
        <v>Fusion Group</v>
      </c>
      <c r="D190" s="1" t="str">
        <f>Datensätze!K92</f>
        <v>Starter Plan</v>
      </c>
      <c r="E190" s="1" t="str">
        <f>Datensätze!L92</f>
        <v>Marcus Johnson</v>
      </c>
      <c r="F190" s="1" t="str">
        <f>Datensätze!F92</f>
        <v>Sarah Chen</v>
      </c>
      <c r="G190" s="1" t="str">
        <f>Datensätze!M92</f>
        <v>APAC</v>
      </c>
      <c r="H190" s="1">
        <f>Datensätze!H92</f>
        <v>1</v>
      </c>
      <c r="I190" s="15">
        <f>Datensätze!N92</f>
        <v>53.39</v>
      </c>
      <c r="J190" s="9">
        <f>Datensätze!O92</f>
        <v>53.39</v>
      </c>
    </row>
    <row r="191" spans="1:10" ht="12.5">
      <c r="A191" s="1" t="str">
        <f>Datensätze!A93</f>
        <v>D-1092</v>
      </c>
      <c r="B191" s="4">
        <f>Datensätze!B93</f>
        <v>45663</v>
      </c>
      <c r="C191" s="1" t="str">
        <f>Datensätze!C93</f>
        <v>Summit Group</v>
      </c>
      <c r="D191" s="1" t="str">
        <f>Datensätze!K93</f>
        <v>Pro Plan</v>
      </c>
      <c r="E191" s="1" t="str">
        <f>Datensätze!L93</f>
        <v>Carlos Mendez</v>
      </c>
      <c r="F191" s="1" t="str">
        <f>Datensätze!F93</f>
        <v>Maya Rodriguez</v>
      </c>
      <c r="G191" s="1" t="str">
        <f>Datensätze!M93</f>
        <v>APAC</v>
      </c>
      <c r="H191" s="1">
        <f>Datensätze!H93</f>
        <v>1</v>
      </c>
      <c r="I191" s="15">
        <f>Datensätze!N93</f>
        <v>202.22</v>
      </c>
      <c r="J191" s="9">
        <f>Datensätze!O93</f>
        <v>202.22</v>
      </c>
    </row>
    <row r="192" spans="1:10" ht="12.5">
      <c r="A192" s="1" t="str">
        <f>Datensätze!A94</f>
        <v>D-1093</v>
      </c>
      <c r="B192" s="4">
        <f>Datensätze!B94</f>
        <v>45684</v>
      </c>
      <c r="C192" s="1" t="str">
        <f>Datensätze!C94</f>
        <v>Obsidian Co</v>
      </c>
      <c r="D192" s="1" t="str">
        <f>Datensätze!K94</f>
        <v>Business Plan</v>
      </c>
      <c r="E192" s="1" t="str">
        <f>Datensätze!L94</f>
        <v>Elena Rossi</v>
      </c>
      <c r="F192" s="1" t="str">
        <f>Datensätze!F94</f>
        <v>Lukas Becker</v>
      </c>
      <c r="G192" s="1" t="str">
        <f>Datensätze!M94</f>
        <v>APAC</v>
      </c>
      <c r="H192" s="1">
        <f>Datensätze!H94</f>
        <v>20</v>
      </c>
      <c r="I192" s="15">
        <f>Datensätze!N94</f>
        <v>487.09</v>
      </c>
      <c r="J192" s="9">
        <f>Datensätze!O94</f>
        <v>9741.7999999999993</v>
      </c>
    </row>
    <row r="193" spans="1:10" ht="12.5">
      <c r="A193" s="1" t="str">
        <f>Datensätze!A95</f>
        <v>D-1094</v>
      </c>
      <c r="B193" s="4">
        <f>Datensätze!B95</f>
        <v>45724</v>
      </c>
      <c r="C193" s="1" t="str">
        <f>Datensätze!C95</f>
        <v>Atlas Group</v>
      </c>
      <c r="D193" s="1" t="str">
        <f>Datensätze!K95</f>
        <v>Business Plan</v>
      </c>
      <c r="E193" s="1" t="str">
        <f>Datensätze!L95</f>
        <v>Hannah Lee</v>
      </c>
      <c r="F193" s="1" t="str">
        <f>Datensätze!F95</f>
        <v>Owen Walsh</v>
      </c>
      <c r="G193" s="1" t="str">
        <f>Datensätze!M95</f>
        <v>LATAM</v>
      </c>
      <c r="H193" s="1">
        <f>Datensätze!H95</f>
        <v>5</v>
      </c>
      <c r="I193" s="15">
        <f>Datensätze!N95</f>
        <v>433.61</v>
      </c>
      <c r="J193" s="9">
        <f>Datensätze!O95</f>
        <v>2168.0500000000002</v>
      </c>
    </row>
    <row r="194" spans="1:10" ht="12.5">
      <c r="A194" s="1" t="str">
        <f>Datensätze!A96</f>
        <v>D-1095</v>
      </c>
      <c r="B194" s="4">
        <f>Datensätze!B96</f>
        <v>45713</v>
      </c>
      <c r="C194" s="1" t="str">
        <f>Datensätze!C96</f>
        <v>Rivet Co</v>
      </c>
      <c r="D194" s="1" t="str">
        <f>Datensätze!K96</f>
        <v>Starter Plan</v>
      </c>
      <c r="E194" s="1" t="str">
        <f>Datensätze!L96</f>
        <v>Raj Sharma</v>
      </c>
      <c r="F194" s="1" t="str">
        <f>Datensätze!F96</f>
        <v>Owen Walsh</v>
      </c>
      <c r="G194" s="1" t="str">
        <f>Datensätze!M96</f>
        <v>APAC</v>
      </c>
      <c r="H194" s="1">
        <f>Datensätze!H96</f>
        <v>2</v>
      </c>
      <c r="I194" s="15">
        <f>Datensätze!N96</f>
        <v>46.11</v>
      </c>
      <c r="J194" s="9">
        <f>Datensätze!O96</f>
        <v>92.22</v>
      </c>
    </row>
    <row r="195" spans="1:10" ht="12.5">
      <c r="A195" s="1" t="str">
        <f>Datensätze!A97</f>
        <v>D-1096</v>
      </c>
      <c r="B195" s="4">
        <f>Datensätze!B97</f>
        <v>45728</v>
      </c>
      <c r="C195" s="1" t="str">
        <f>Datensätze!C97</f>
        <v>Obsidian Co</v>
      </c>
      <c r="D195" s="1" t="str">
        <f>Datensätze!K97</f>
        <v>Business Plan</v>
      </c>
      <c r="E195" s="1" t="str">
        <f>Datensätze!L97</f>
        <v>Marcus Johnson</v>
      </c>
      <c r="F195" s="1" t="str">
        <f>Datensätze!F97</f>
        <v>Sarah Chen</v>
      </c>
      <c r="G195" s="1" t="str">
        <f>Datensätze!M97</f>
        <v>North America</v>
      </c>
      <c r="H195" s="1">
        <f>Datensätze!H97</f>
        <v>1</v>
      </c>
      <c r="I195" s="15">
        <f>Datensätze!N97</f>
        <v>404.44</v>
      </c>
      <c r="J195" s="9">
        <f>Datensätze!O97</f>
        <v>404.44</v>
      </c>
    </row>
    <row r="196" spans="1:10" ht="12.5">
      <c r="A196" s="1" t="str">
        <f>Datensätze!A98</f>
        <v>D-1097</v>
      </c>
      <c r="B196" s="4">
        <f>Datensätze!B98</f>
        <v>45712</v>
      </c>
      <c r="C196" s="1" t="str">
        <f>Datensätze!C98</f>
        <v>Verdant Inc</v>
      </c>
      <c r="D196" s="1" t="str">
        <f>Datensätze!K98</f>
        <v>Business Plan</v>
      </c>
      <c r="E196" s="1" t="str">
        <f>Datensätze!L98</f>
        <v>Priya Patel</v>
      </c>
      <c r="F196" s="1" t="str">
        <f>Datensätze!F98</f>
        <v>Maya Rodriguez</v>
      </c>
      <c r="G196" s="1" t="str">
        <f>Datensätze!M98</f>
        <v>North America</v>
      </c>
      <c r="H196" s="1">
        <f>Datensätze!H98</f>
        <v>1</v>
      </c>
      <c r="I196" s="15">
        <f>Datensätze!N98</f>
        <v>486.21</v>
      </c>
      <c r="J196" s="9">
        <f>Datensätze!O98</f>
        <v>486.21</v>
      </c>
    </row>
    <row r="197" spans="1:10" ht="12.5">
      <c r="A197" s="1" t="str">
        <f>Datensätze!A99</f>
        <v>D-1098</v>
      </c>
      <c r="B197" s="4">
        <f>Datensätze!B99</f>
        <v>45727</v>
      </c>
      <c r="C197" s="1" t="str">
        <f>Datensätze!C99</f>
        <v>Helix Systems</v>
      </c>
      <c r="D197" s="1" t="str">
        <f>Datensätze!K99</f>
        <v>Starter Plan</v>
      </c>
      <c r="E197" s="1" t="str">
        <f>Datensätze!L99</f>
        <v>Aisha Hassan</v>
      </c>
      <c r="F197" s="1" t="str">
        <f>Datensätze!F99</f>
        <v>Sarah Chen</v>
      </c>
      <c r="G197" s="1" t="str">
        <f>Datensätze!M99</f>
        <v>EMEA</v>
      </c>
      <c r="H197" s="1">
        <f>Datensätze!H99</f>
        <v>2</v>
      </c>
      <c r="I197" s="15">
        <f>Datensätze!N99</f>
        <v>57.15</v>
      </c>
      <c r="J197" s="9">
        <f>Datensätze!O99</f>
        <v>114.3</v>
      </c>
    </row>
    <row r="198" spans="1:10" ht="12.5">
      <c r="A198" s="1" t="str">
        <f>Datensätze!A100</f>
        <v>D-1099</v>
      </c>
      <c r="B198" s="4">
        <f>Datensätze!B100</f>
        <v>45703</v>
      </c>
      <c r="C198" s="1" t="str">
        <f>Datensätze!C100</f>
        <v>Driftwood Co</v>
      </c>
      <c r="D198" s="1" t="str">
        <f>Datensätze!K100</f>
        <v>Pro Plan</v>
      </c>
      <c r="E198" s="1" t="str">
        <f>Datensätze!L100</f>
        <v>Sophie Laurent</v>
      </c>
      <c r="F198" s="1" t="str">
        <f>Datensätze!F100</f>
        <v>Maya Rodriguez</v>
      </c>
      <c r="G198" s="1" t="str">
        <f>Datensätze!M100</f>
        <v>LATAM</v>
      </c>
      <c r="H198" s="1">
        <f>Datensätze!H100</f>
        <v>1</v>
      </c>
      <c r="I198" s="15">
        <f>Datensätze!N100</f>
        <v>287.77</v>
      </c>
      <c r="J198" s="9">
        <f>Datensätze!O100</f>
        <v>287.77</v>
      </c>
    </row>
    <row r="199" spans="1:10" ht="12.5">
      <c r="A199" s="1" t="str">
        <f>Datensätze!A101</f>
        <v>D-1100</v>
      </c>
      <c r="B199" s="4">
        <f>Datensätze!B101</f>
        <v>45698</v>
      </c>
      <c r="C199" s="1" t="str">
        <f>Datensätze!C101</f>
        <v>Northwind Co</v>
      </c>
      <c r="D199" s="1" t="str">
        <f>Datensätze!K101</f>
        <v>Pro Plan</v>
      </c>
      <c r="E199" s="1" t="str">
        <f>Datensätze!L101</f>
        <v>Marcus Johnson</v>
      </c>
      <c r="F199" s="1" t="str">
        <f>Datensätze!F101</f>
        <v>Sarah Chen</v>
      </c>
      <c r="G199" s="1" t="str">
        <f>Datensätze!M101</f>
        <v>North America</v>
      </c>
      <c r="H199" s="1">
        <f>Datensätze!H101</f>
        <v>20</v>
      </c>
      <c r="I199" s="15">
        <f>Datensätze!N101</f>
        <v>205.16</v>
      </c>
      <c r="J199" s="9">
        <f>Datensätze!O101</f>
        <v>4103.2</v>
      </c>
    </row>
    <row r="200" spans="1:10" ht="12.5">
      <c r="A200" s="1" t="str">
        <f>Datensätze!A102</f>
        <v>D-1101</v>
      </c>
      <c r="B200" s="4">
        <f>Datensätze!B102</f>
        <v>45693</v>
      </c>
      <c r="C200" s="1" t="str">
        <f>Datensätze!C102</f>
        <v>Rivet Co</v>
      </c>
      <c r="D200" s="1" t="str">
        <f>Datensätze!K102</f>
        <v>Pro Plan</v>
      </c>
      <c r="E200" s="1" t="str">
        <f>Datensätze!L102</f>
        <v>Nina Petrov</v>
      </c>
      <c r="F200" s="1" t="str">
        <f>Datensätze!F102</f>
        <v>Lukas Becker</v>
      </c>
      <c r="G200" s="1" t="str">
        <f>Datensätze!M102</f>
        <v>EMEA</v>
      </c>
      <c r="H200" s="1">
        <f>Datensätze!H102</f>
        <v>5</v>
      </c>
      <c r="I200" s="15">
        <f>Datensätze!N102</f>
        <v>193.4</v>
      </c>
      <c r="J200" s="9">
        <f>Datensätze!O102</f>
        <v>967</v>
      </c>
    </row>
    <row r="201" spans="1:10" ht="12.5">
      <c r="A201" s="1" t="str">
        <f>Datensätze!A103</f>
        <v>D-1102</v>
      </c>
      <c r="B201" s="4">
        <f>Datensätze!B103</f>
        <v>45661</v>
      </c>
      <c r="C201" s="1" t="str">
        <f>Datensätze!C103</f>
        <v>Lumen Labs</v>
      </c>
      <c r="D201" s="1" t="str">
        <f>Datensätze!K103</f>
        <v>Starter Plan</v>
      </c>
      <c r="E201" s="1" t="str">
        <f>Datensätze!L103</f>
        <v>Carlos Mendez</v>
      </c>
      <c r="F201" s="1" t="str">
        <f>Datensätze!F103</f>
        <v>Maya Rodriguez</v>
      </c>
      <c r="G201" s="1" t="str">
        <f>Datensätze!M103</f>
        <v>EMEA</v>
      </c>
      <c r="H201" s="1">
        <f>Datensätze!H103</f>
        <v>1</v>
      </c>
      <c r="I201" s="15">
        <f>Datensätze!N103</f>
        <v>68.06</v>
      </c>
      <c r="J201" s="9">
        <f>Datensätze!O103</f>
        <v>68.06</v>
      </c>
    </row>
    <row r="202" spans="1:10" ht="12.5">
      <c r="A202" s="1" t="str">
        <f>Datensätze!A104</f>
        <v>D-1103</v>
      </c>
      <c r="B202" s="4">
        <f>Datensätze!B104</f>
        <v>45696</v>
      </c>
      <c r="C202" s="1" t="str">
        <f>Datensätze!C104</f>
        <v>Foundry Group</v>
      </c>
      <c r="D202" s="1" t="str">
        <f>Datensätze!K104</f>
        <v>Starter Plan</v>
      </c>
      <c r="E202" s="1" t="str">
        <f>Datensätze!L104</f>
        <v>Sophie Laurent</v>
      </c>
      <c r="F202" s="1" t="str">
        <f>Datensätze!F104</f>
        <v>Maya Rodriguez</v>
      </c>
      <c r="G202" s="1" t="str">
        <f>Datensätze!M104</f>
        <v>APAC</v>
      </c>
      <c r="H202" s="1">
        <f>Datensätze!H104</f>
        <v>2</v>
      </c>
      <c r="I202" s="15">
        <f>Datensätze!N104</f>
        <v>45.13</v>
      </c>
      <c r="J202" s="9">
        <f>Datensätze!O104</f>
        <v>90.26</v>
      </c>
    </row>
    <row r="203" spans="1:10" ht="12.5">
      <c r="A203" s="1" t="str">
        <f>Datensätze!A105</f>
        <v>D-1104</v>
      </c>
      <c r="B203" s="4">
        <f>Datensätze!B105</f>
        <v>45719</v>
      </c>
      <c r="C203" s="1" t="str">
        <f>Datensätze!C105</f>
        <v>Borealis Co</v>
      </c>
      <c r="D203" s="1" t="str">
        <f>Datensätze!K105</f>
        <v>Starter Plan</v>
      </c>
      <c r="E203" s="1" t="str">
        <f>Datensätze!L105</f>
        <v>Carlos Mendez</v>
      </c>
      <c r="F203" s="1" t="str">
        <f>Datensätze!F105</f>
        <v>Maya Rodriguez</v>
      </c>
      <c r="G203" s="1" t="str">
        <f>Datensätze!M105</f>
        <v>LATAM</v>
      </c>
      <c r="H203" s="1">
        <f>Datensätze!H105</f>
        <v>1</v>
      </c>
      <c r="I203" s="15">
        <f>Datensätze!N105</f>
        <v>59.68</v>
      </c>
      <c r="J203" s="9">
        <f>Datensätze!O105</f>
        <v>59.68</v>
      </c>
    </row>
    <row r="204" spans="1:10" ht="12.5">
      <c r="A204" s="1" t="str">
        <f>Datensätze!A106</f>
        <v>D-1105</v>
      </c>
      <c r="B204" s="4">
        <f>Datensätze!B106</f>
        <v>45662</v>
      </c>
      <c r="C204" s="1" t="str">
        <f>Datensätze!C106</f>
        <v>Kestrel Co</v>
      </c>
      <c r="D204" s="1" t="str">
        <f>Datensätze!K106</f>
        <v>Pro Plan</v>
      </c>
      <c r="E204" s="1" t="str">
        <f>Datensätze!L106</f>
        <v>Elena Rossi</v>
      </c>
      <c r="F204" s="1" t="str">
        <f>Datensätze!F106</f>
        <v>Lukas Becker</v>
      </c>
      <c r="G204" s="1" t="str">
        <f>Datensätze!M106</f>
        <v>North America</v>
      </c>
      <c r="H204" s="1">
        <f>Datensätze!H106</f>
        <v>1</v>
      </c>
      <c r="I204" s="15">
        <f>Datensätze!N106</f>
        <v>226.12</v>
      </c>
      <c r="J204" s="9">
        <f>Datensätze!O106</f>
        <v>226.12</v>
      </c>
    </row>
    <row r="205" spans="1:10" ht="12.5">
      <c r="A205" s="1" t="str">
        <f>Datensätze!A107</f>
        <v>D-1106</v>
      </c>
      <c r="B205" s="4">
        <f>Datensätze!B107</f>
        <v>45674</v>
      </c>
      <c r="C205" s="1" t="str">
        <f>Datensätze!C107</f>
        <v>Vertex Inc</v>
      </c>
      <c r="D205" s="1" t="str">
        <f>Datensätze!K107</f>
        <v>Enterprise Plan</v>
      </c>
      <c r="E205" s="1" t="str">
        <f>Datensätze!L107</f>
        <v>Marcus Johnson</v>
      </c>
      <c r="F205" s="1" t="str">
        <f>Datensätze!F107</f>
        <v>Sarah Chen</v>
      </c>
      <c r="G205" s="1" t="str">
        <f>Datensätze!M107</f>
        <v>LATAM</v>
      </c>
      <c r="H205" s="1">
        <f>Datensätze!H107</f>
        <v>20</v>
      </c>
      <c r="I205" s="15">
        <f>Datensätze!N107</f>
        <v>1180.76</v>
      </c>
      <c r="J205" s="9">
        <f>Datensätze!O107</f>
        <v>23615.200000000001</v>
      </c>
    </row>
    <row r="206" spans="1:10" ht="12.5">
      <c r="A206" s="1" t="str">
        <f>Datensätze!A108</f>
        <v>D-1107</v>
      </c>
      <c r="B206" s="4">
        <f>Datensätze!B108</f>
        <v>45685</v>
      </c>
      <c r="C206" s="1" t="str">
        <f>Datensätze!C108</f>
        <v>Nova Inc</v>
      </c>
      <c r="D206" s="1" t="str">
        <f>Datensätze!K108</f>
        <v>Enterprise Plan</v>
      </c>
      <c r="E206" s="1" t="str">
        <f>Datensätze!L108</f>
        <v>Nina Petrov</v>
      </c>
      <c r="F206" s="1" t="str">
        <f>Datensätze!F108</f>
        <v>Lukas Becker</v>
      </c>
      <c r="G206" s="1" t="str">
        <f>Datensätze!M108</f>
        <v>APAC</v>
      </c>
      <c r="H206" s="1">
        <f>Datensätze!H108</f>
        <v>50</v>
      </c>
      <c r="I206" s="15">
        <f>Datensätze!N108</f>
        <v>932.32</v>
      </c>
      <c r="J206" s="9">
        <f>Datensätze!O108</f>
        <v>46616</v>
      </c>
    </row>
    <row r="207" spans="1:10" ht="12.5">
      <c r="A207" s="1" t="str">
        <f>Datensätze!A109</f>
        <v>D-1108</v>
      </c>
      <c r="B207" s="4">
        <f>Datensätze!B109</f>
        <v>45658</v>
      </c>
      <c r="C207" s="1" t="str">
        <f>Datensätze!C109</f>
        <v>Meridian Group</v>
      </c>
      <c r="D207" s="1" t="str">
        <f>Datensätze!K109</f>
        <v>Pro Plan</v>
      </c>
      <c r="E207" s="1" t="str">
        <f>Datensätze!L109</f>
        <v>Tom Wilson</v>
      </c>
      <c r="F207" s="1" t="str">
        <f>Datensätze!F109</f>
        <v>Lukas Becker</v>
      </c>
      <c r="G207" s="1" t="str">
        <f>Datensätze!M109</f>
        <v>North America</v>
      </c>
      <c r="H207" s="1">
        <f>Datensätze!H109</f>
        <v>10</v>
      </c>
      <c r="I207" s="15">
        <f>Datensätze!N109</f>
        <v>224.49</v>
      </c>
      <c r="J207" s="9">
        <f>Datensätze!O109</f>
        <v>2244.9</v>
      </c>
    </row>
    <row r="208" spans="1:10" ht="12.5">
      <c r="A208" s="1" t="str">
        <f>Datensätze!A110</f>
        <v>D-1109</v>
      </c>
      <c r="B208" s="4">
        <f>Datensätze!B110</f>
        <v>45674</v>
      </c>
      <c r="C208" s="1" t="str">
        <f>Datensätze!C110</f>
        <v>Stellar Co</v>
      </c>
      <c r="D208" s="1" t="str">
        <f>Datensätze!K110</f>
        <v>Pro Plan</v>
      </c>
      <c r="E208" s="1" t="str">
        <f>Datensätze!L110</f>
        <v>Aisha Hassan</v>
      </c>
      <c r="F208" s="1" t="str">
        <f>Datensätze!F110</f>
        <v>Sarah Chen</v>
      </c>
      <c r="G208" s="1" t="str">
        <f>Datensätze!M110</f>
        <v>North America</v>
      </c>
      <c r="H208" s="1">
        <f>Datensätze!H110</f>
        <v>50</v>
      </c>
      <c r="I208" s="15">
        <f>Datensätze!N110</f>
        <v>214.71</v>
      </c>
      <c r="J208" s="9">
        <f>Datensätze!O110</f>
        <v>10735.5</v>
      </c>
    </row>
    <row r="209" spans="1:10" ht="12.5">
      <c r="A209" s="1" t="str">
        <f>Datensätze!A111</f>
        <v>D-1110</v>
      </c>
      <c r="B209" s="4">
        <f>Datensätze!B111</f>
        <v>45662</v>
      </c>
      <c r="C209" s="1" t="str">
        <f>Datensätze!C111</f>
        <v>Rivet Co</v>
      </c>
      <c r="D209" s="1" t="str">
        <f>Datensätze!K111</f>
        <v>Starter Plan</v>
      </c>
      <c r="E209" s="1" t="str">
        <f>Datensätze!L111</f>
        <v>James Park</v>
      </c>
      <c r="F209" s="1" t="str">
        <f>Datensätze!F111</f>
        <v>Owen Walsh</v>
      </c>
      <c r="G209" s="1" t="str">
        <f>Datensätze!M111</f>
        <v>LATAM</v>
      </c>
      <c r="H209" s="1">
        <f>Datensätze!H111</f>
        <v>1</v>
      </c>
      <c r="I209" s="15">
        <f>Datensätze!N111</f>
        <v>73.28</v>
      </c>
      <c r="J209" s="9">
        <f>Datensätze!O111</f>
        <v>73.28</v>
      </c>
    </row>
    <row r="210" spans="1:10" ht="12.5">
      <c r="A210" s="1" t="str">
        <f>Datensätze!A112</f>
        <v>D-1111</v>
      </c>
      <c r="B210" s="4">
        <f>Datensätze!B112</f>
        <v>45721</v>
      </c>
      <c r="C210" s="1" t="str">
        <f>Datensätze!C112</f>
        <v>Beacon Labs</v>
      </c>
      <c r="D210" s="1" t="str">
        <f>Datensätze!K112</f>
        <v>Business Plan</v>
      </c>
      <c r="E210" s="1" t="str">
        <f>Datensätze!L112</f>
        <v>David Kim</v>
      </c>
      <c r="F210" s="1" t="str">
        <f>Datensätze!F112</f>
        <v>Sarah Chen</v>
      </c>
      <c r="G210" s="1" t="str">
        <f>Datensätze!M112</f>
        <v>North America</v>
      </c>
      <c r="H210" s="1">
        <f>Datensätze!H112</f>
        <v>2</v>
      </c>
      <c r="I210" s="15">
        <f>Datensätze!N112</f>
        <v>477.27</v>
      </c>
      <c r="J210" s="9">
        <f>Datensätze!O112</f>
        <v>954.54</v>
      </c>
    </row>
    <row r="211" spans="1:10" ht="12.5">
      <c r="A211" s="1" t="str">
        <f>Datensätze!A113</f>
        <v>D-1112</v>
      </c>
      <c r="B211" s="4">
        <f>Datensätze!B113</f>
        <v>45662</v>
      </c>
      <c r="C211" s="1" t="str">
        <f>Datensätze!C113</f>
        <v>Borealis Co</v>
      </c>
      <c r="D211" s="1" t="str">
        <f>Datensätze!K113</f>
        <v>Starter Plan</v>
      </c>
      <c r="E211" s="1" t="str">
        <f>Datensätze!L113</f>
        <v>Hannah Lee</v>
      </c>
      <c r="F211" s="1" t="str">
        <f>Datensätze!F113</f>
        <v>Owen Walsh</v>
      </c>
      <c r="G211" s="1" t="str">
        <f>Datensätze!M113</f>
        <v>EMEA</v>
      </c>
      <c r="H211" s="1">
        <f>Datensätze!H113</f>
        <v>5</v>
      </c>
      <c r="I211" s="15">
        <f>Datensätze!N113</f>
        <v>45.99</v>
      </c>
      <c r="J211" s="9">
        <f>Datensätze!O113</f>
        <v>229.95000000000002</v>
      </c>
    </row>
    <row r="212" spans="1:10" ht="12.5">
      <c r="A212" s="1" t="str">
        <f>Datensätze!A114</f>
        <v>D-1113</v>
      </c>
      <c r="B212" s="4">
        <f>Datensätze!B114</f>
        <v>45711</v>
      </c>
      <c r="C212" s="1" t="str">
        <f>Datensätze!C114</f>
        <v>Citadel Group</v>
      </c>
      <c r="D212" s="1" t="str">
        <f>Datensätze!K114</f>
        <v>Pro Plan</v>
      </c>
      <c r="E212" s="1" t="str">
        <f>Datensätze!L114</f>
        <v>Hannah Lee</v>
      </c>
      <c r="F212" s="1" t="str">
        <f>Datensätze!F114</f>
        <v>Owen Walsh</v>
      </c>
      <c r="G212" s="1" t="str">
        <f>Datensätze!M114</f>
        <v>APAC</v>
      </c>
      <c r="H212" s="1">
        <f>Datensätze!H114</f>
        <v>2</v>
      </c>
      <c r="I212" s="15">
        <f>Datensätze!N114</f>
        <v>180.13</v>
      </c>
      <c r="J212" s="9">
        <f>Datensätze!O114</f>
        <v>360.26</v>
      </c>
    </row>
    <row r="213" spans="1:10" ht="12.5">
      <c r="A213" s="1" t="str">
        <f>Datensätze!A115</f>
        <v>D-1114</v>
      </c>
      <c r="B213" s="4">
        <f>Datensätze!B115</f>
        <v>45710</v>
      </c>
      <c r="C213" s="1" t="str">
        <f>Datensätze!C115</f>
        <v>Solstice Group</v>
      </c>
      <c r="D213" s="1" t="str">
        <f>Datensätze!K115</f>
        <v>Add-on: Support</v>
      </c>
      <c r="E213" s="1" t="str">
        <f>Datensätze!L115</f>
        <v>Elena Rossi</v>
      </c>
      <c r="F213" s="1" t="str">
        <f>Datensätze!F115</f>
        <v>Lukas Becker</v>
      </c>
      <c r="G213" s="1" t="str">
        <f>Datensätze!M115</f>
        <v>APAC</v>
      </c>
      <c r="H213" s="1">
        <f>Datensätze!H115</f>
        <v>2</v>
      </c>
      <c r="I213" s="15">
        <f>Datensätze!N115</f>
        <v>43.17</v>
      </c>
      <c r="J213" s="9">
        <f>Datensätze!O115</f>
        <v>86.34</v>
      </c>
    </row>
    <row r="214" spans="1:10" ht="12.5">
      <c r="A214" s="1" t="str">
        <f>Datensätze!A116</f>
        <v>D-1115</v>
      </c>
      <c r="B214" s="4">
        <f>Datensätze!B116</f>
        <v>45661</v>
      </c>
      <c r="C214" s="1" t="str">
        <f>Datensätze!C116</f>
        <v>Kestrel Co</v>
      </c>
      <c r="D214" s="1" t="str">
        <f>Datensätze!K116</f>
        <v>Add-on: Support</v>
      </c>
      <c r="E214" s="1" t="str">
        <f>Datensätze!L116</f>
        <v>Tom Wilson</v>
      </c>
      <c r="F214" s="1" t="str">
        <f>Datensätze!F116</f>
        <v>Lukas Becker</v>
      </c>
      <c r="G214" s="1" t="str">
        <f>Datensätze!M116</f>
        <v>APAC</v>
      </c>
      <c r="H214" s="1">
        <f>Datensätze!H116</f>
        <v>2</v>
      </c>
      <c r="I214" s="15">
        <f>Datensätze!N116</f>
        <v>118.97</v>
      </c>
      <c r="J214" s="9">
        <f>Datensätze!O116</f>
        <v>237.94</v>
      </c>
    </row>
    <row r="215" spans="1:10" ht="12.5">
      <c r="A215" s="1" t="str">
        <f>Datensätze!A117</f>
        <v>D-1116</v>
      </c>
      <c r="B215" s="4">
        <f>Datensätze!B117</f>
        <v>45696</v>
      </c>
      <c r="C215" s="1" t="str">
        <f>Datensätze!C117</f>
        <v>Cascade Group</v>
      </c>
      <c r="D215" s="1" t="str">
        <f>Datensätze!K117</f>
        <v>Starter Plan</v>
      </c>
      <c r="E215" s="1" t="str">
        <f>Datensätze!L117</f>
        <v>Elena Rossi</v>
      </c>
      <c r="F215" s="1" t="str">
        <f>Datensätze!F117</f>
        <v>Lukas Becker</v>
      </c>
      <c r="G215" s="1" t="str">
        <f>Datensätze!M117</f>
        <v>APAC</v>
      </c>
      <c r="H215" s="1">
        <f>Datensätze!H117</f>
        <v>1</v>
      </c>
      <c r="I215" s="15">
        <f>Datensätze!N117</f>
        <v>74.459999999999994</v>
      </c>
      <c r="J215" s="9">
        <f>Datensätze!O117</f>
        <v>74.459999999999994</v>
      </c>
    </row>
    <row r="216" spans="1:10" ht="12.5">
      <c r="A216" s="1" t="str">
        <f>Datensätze!A118</f>
        <v>D-1117</v>
      </c>
      <c r="B216" s="4">
        <f>Datensätze!B118</f>
        <v>45679</v>
      </c>
      <c r="C216" s="1" t="str">
        <f>Datensätze!C118</f>
        <v>Echo Labs</v>
      </c>
      <c r="D216" s="1" t="str">
        <f>Datensätze!K118</f>
        <v>Pro Plan</v>
      </c>
      <c r="E216" s="1" t="str">
        <f>Datensätze!L118</f>
        <v>David Kim</v>
      </c>
      <c r="F216" s="1" t="str">
        <f>Datensätze!F118</f>
        <v>Sarah Chen</v>
      </c>
      <c r="G216" s="1" t="str">
        <f>Datensätze!M118</f>
        <v>APAC</v>
      </c>
      <c r="H216" s="1">
        <f>Datensätze!H118</f>
        <v>1</v>
      </c>
      <c r="I216" s="15">
        <f>Datensätze!N118</f>
        <v>189.77</v>
      </c>
      <c r="J216" s="9">
        <f>Datensätze!O118</f>
        <v>189.77</v>
      </c>
    </row>
    <row r="217" spans="1:10" ht="12.5">
      <c r="A217" s="1" t="str">
        <f>Datensätze!A119</f>
        <v>D-1118</v>
      </c>
      <c r="B217" s="4">
        <f>Datensätze!B119</f>
        <v>45738</v>
      </c>
      <c r="C217" s="1" t="str">
        <f>Datensätze!C119</f>
        <v>Iris Co</v>
      </c>
      <c r="D217" s="1" t="str">
        <f>Datensätze!K119</f>
        <v>Business Plan</v>
      </c>
      <c r="E217" s="1" t="str">
        <f>Datensätze!L119</f>
        <v>Marcus Johnson</v>
      </c>
      <c r="F217" s="1" t="str">
        <f>Datensätze!F119</f>
        <v>Sarah Chen</v>
      </c>
      <c r="G217" s="1" t="str">
        <f>Datensätze!M119</f>
        <v>EMEA</v>
      </c>
      <c r="H217" s="1">
        <f>Datensätze!H119</f>
        <v>1</v>
      </c>
      <c r="I217" s="15">
        <f>Datensätze!N119</f>
        <v>475.9</v>
      </c>
      <c r="J217" s="9">
        <f>Datensätze!O119</f>
        <v>475.9</v>
      </c>
    </row>
    <row r="218" spans="1:10" ht="12.5">
      <c r="A218" s="1" t="str">
        <f>Datensätze!A120</f>
        <v>D-1119</v>
      </c>
      <c r="B218" s="4">
        <f>Datensätze!B120</f>
        <v>45709</v>
      </c>
      <c r="C218" s="1" t="str">
        <f>Datensätze!C120</f>
        <v>Stellar Co</v>
      </c>
      <c r="D218" s="1" t="str">
        <f>Datensätze!K120</f>
        <v>Pro Plan</v>
      </c>
      <c r="E218" s="1" t="str">
        <f>Datensätze!L120</f>
        <v>David Kim</v>
      </c>
      <c r="F218" s="1" t="str">
        <f>Datensätze!F120</f>
        <v>Sarah Chen</v>
      </c>
      <c r="G218" s="1" t="str">
        <f>Datensätze!M120</f>
        <v>EMEA</v>
      </c>
      <c r="H218" s="1">
        <f>Datensätze!H120</f>
        <v>5</v>
      </c>
      <c r="I218" s="15">
        <f>Datensätze!N120</f>
        <v>157.24</v>
      </c>
      <c r="J218" s="9">
        <f>Datensätze!O120</f>
        <v>786.2</v>
      </c>
    </row>
    <row r="219" spans="1:10" ht="12.5">
      <c r="A219" s="1" t="str">
        <f>Datensätze!A121</f>
        <v>D-1120</v>
      </c>
      <c r="B219" s="4">
        <f>Datensätze!B121</f>
        <v>45746</v>
      </c>
      <c r="C219" s="1" t="str">
        <f>Datensätze!C121</f>
        <v>Iris Co</v>
      </c>
      <c r="D219" s="1" t="str">
        <f>Datensätze!K121</f>
        <v>Enterprise Plan</v>
      </c>
      <c r="E219" s="1" t="str">
        <f>Datensätze!L121</f>
        <v>Sophie Laurent</v>
      </c>
      <c r="F219" s="1" t="str">
        <f>Datensätze!F121</f>
        <v>Maya Rodriguez</v>
      </c>
      <c r="G219" s="1" t="str">
        <f>Datensätze!M121</f>
        <v>EMEA</v>
      </c>
      <c r="H219" s="1">
        <f>Datensätze!H121</f>
        <v>1</v>
      </c>
      <c r="I219" s="15">
        <f>Datensätze!N121</f>
        <v>958.86</v>
      </c>
      <c r="J219" s="9">
        <f>Datensätze!O121</f>
        <v>958.86</v>
      </c>
    </row>
    <row r="220" spans="1:10" ht="12.5">
      <c r="A220" s="1" t="str">
        <f>Datensätze!A122</f>
        <v>D-1121</v>
      </c>
      <c r="B220" s="4">
        <f>Datensätze!B122</f>
        <v>45666</v>
      </c>
      <c r="C220" s="1" t="str">
        <f>Datensätze!C122</f>
        <v>Nova Inc</v>
      </c>
      <c r="D220" s="1" t="str">
        <f>Datensätze!K122</f>
        <v>Enterprise Plan</v>
      </c>
      <c r="E220" s="1" t="str">
        <f>Datensätze!L122</f>
        <v>Priya Patel</v>
      </c>
      <c r="F220" s="1" t="str">
        <f>Datensätze!F122</f>
        <v>Maya Rodriguez</v>
      </c>
      <c r="G220" s="1" t="str">
        <f>Datensätze!M122</f>
        <v>APAC</v>
      </c>
      <c r="H220" s="1">
        <f>Datensätze!H122</f>
        <v>1</v>
      </c>
      <c r="I220" s="15">
        <f>Datensätze!N122</f>
        <v>1388.69</v>
      </c>
      <c r="J220" s="9">
        <f>Datensätze!O122</f>
        <v>1388.69</v>
      </c>
    </row>
    <row r="221" spans="1:10" ht="12.5">
      <c r="A221" s="1" t="str">
        <f>Datensätze!A123</f>
        <v>D-1122</v>
      </c>
      <c r="B221" s="4">
        <f>Datensätze!B123</f>
        <v>45689</v>
      </c>
      <c r="C221" s="1" t="str">
        <f>Datensätze!C123</f>
        <v>Beacon Labs</v>
      </c>
      <c r="D221" s="1" t="str">
        <f>Datensätze!K123</f>
        <v>Add-on: Support</v>
      </c>
      <c r="E221" s="1" t="str">
        <f>Datensätze!L123</f>
        <v>Marcus Johnson</v>
      </c>
      <c r="F221" s="1" t="str">
        <f>Datensätze!F123</f>
        <v>Sarah Chen</v>
      </c>
      <c r="G221" s="1" t="str">
        <f>Datensätze!M123</f>
        <v>EMEA</v>
      </c>
      <c r="H221" s="1">
        <f>Datensätze!H123</f>
        <v>10</v>
      </c>
      <c r="I221" s="15">
        <f>Datensätze!N123</f>
        <v>107.07</v>
      </c>
      <c r="J221" s="9">
        <f>Datensätze!O123</f>
        <v>1070.6999999999998</v>
      </c>
    </row>
    <row r="222" spans="1:10" ht="12.5">
      <c r="A222" s="1" t="str">
        <f>Datensätze!A124</f>
        <v>D-1123</v>
      </c>
      <c r="B222" s="4">
        <f>Datensätze!B124</f>
        <v>45665</v>
      </c>
      <c r="C222" s="1" t="str">
        <f>Datensätze!C124</f>
        <v>Nimbus Co</v>
      </c>
      <c r="D222" s="1" t="str">
        <f>Datensätze!K124</f>
        <v>Add-on: Support</v>
      </c>
      <c r="E222" s="1" t="str">
        <f>Datensätze!L124</f>
        <v>Tom Wilson</v>
      </c>
      <c r="F222" s="1" t="str">
        <f>Datensätze!F124</f>
        <v>Lukas Becker</v>
      </c>
      <c r="G222" s="1" t="str">
        <f>Datensätze!M124</f>
        <v>LATAM</v>
      </c>
      <c r="H222" s="1">
        <f>Datensätze!H124</f>
        <v>1</v>
      </c>
      <c r="I222" s="15">
        <f>Datensätze!N124</f>
        <v>92.92</v>
      </c>
      <c r="J222" s="9">
        <f>Datensätze!O124</f>
        <v>92.92</v>
      </c>
    </row>
    <row r="223" spans="1:10" ht="12.5">
      <c r="A223" s="1" t="str">
        <f>Datensätze!A125</f>
        <v>D-1124</v>
      </c>
      <c r="B223" s="4">
        <f>Datensätze!B125</f>
        <v>45681</v>
      </c>
      <c r="C223" s="1" t="str">
        <f>Datensätze!C125</f>
        <v>Solstice Group</v>
      </c>
      <c r="D223" s="1" t="str">
        <f>Datensätze!K125</f>
        <v>Business Plan</v>
      </c>
      <c r="E223" s="1" t="str">
        <f>Datensätze!L125</f>
        <v>Marcus Johnson</v>
      </c>
      <c r="F223" s="1" t="str">
        <f>Datensätze!F125</f>
        <v>Sarah Chen</v>
      </c>
      <c r="G223" s="1" t="str">
        <f>Datensätze!M125</f>
        <v>LATAM</v>
      </c>
      <c r="H223" s="1">
        <f>Datensätze!H125</f>
        <v>2</v>
      </c>
      <c r="I223" s="15">
        <f>Datensätze!N125</f>
        <v>425.85</v>
      </c>
      <c r="J223" s="9">
        <f>Datensätze!O125</f>
        <v>851.7</v>
      </c>
    </row>
    <row r="224" spans="1:10" ht="12.5">
      <c r="A224" s="1" t="str">
        <f>Datensätze!A126</f>
        <v>D-1125</v>
      </c>
      <c r="B224" s="4">
        <f>Datensätze!B126</f>
        <v>45679</v>
      </c>
      <c r="C224" s="1" t="str">
        <f>Datensätze!C126</f>
        <v>Granite Co</v>
      </c>
      <c r="D224" s="1" t="str">
        <f>Datensätze!K126</f>
        <v>Pro Plan</v>
      </c>
      <c r="E224" s="1" t="str">
        <f>Datensätze!L126</f>
        <v>Elena Rossi</v>
      </c>
      <c r="F224" s="1" t="str">
        <f>Datensätze!F126</f>
        <v>Lukas Becker</v>
      </c>
      <c r="G224" s="1" t="str">
        <f>Datensätze!M126</f>
        <v>LATAM</v>
      </c>
      <c r="H224" s="1">
        <f>Datensätze!H126</f>
        <v>1</v>
      </c>
      <c r="I224" s="15">
        <f>Datensätze!N126</f>
        <v>260.51</v>
      </c>
      <c r="J224" s="9">
        <f>Datensätze!O126</f>
        <v>260.51</v>
      </c>
    </row>
    <row r="225" spans="1:10" ht="12.5">
      <c r="A225" s="1" t="str">
        <f>Datensätze!A127</f>
        <v>D-1126</v>
      </c>
      <c r="B225" s="4">
        <f>Datensätze!B127</f>
        <v>45719</v>
      </c>
      <c r="C225" s="1" t="str">
        <f>Datensätze!C127</f>
        <v>Citadel Group</v>
      </c>
      <c r="D225" s="1" t="str">
        <f>Datensätze!K127</f>
        <v>Pro Plan</v>
      </c>
      <c r="E225" s="1" t="str">
        <f>Datensätze!L127</f>
        <v>Nina Petrov</v>
      </c>
      <c r="F225" s="1" t="str">
        <f>Datensätze!F127</f>
        <v>Lukas Becker</v>
      </c>
      <c r="G225" s="1" t="str">
        <f>Datensätze!M127</f>
        <v>EMEA</v>
      </c>
      <c r="H225" s="1">
        <f>Datensätze!H127</f>
        <v>5</v>
      </c>
      <c r="I225" s="15">
        <f>Datensätze!N127</f>
        <v>170.37</v>
      </c>
      <c r="J225" s="9">
        <f>Datensätze!O127</f>
        <v>851.85</v>
      </c>
    </row>
    <row r="226" spans="1:10" ht="12.5">
      <c r="A226" s="1" t="str">
        <f>Datensätze!A128</f>
        <v>D-1127</v>
      </c>
      <c r="B226" s="4">
        <f>Datensätze!B128</f>
        <v>45726</v>
      </c>
      <c r="C226" s="1" t="str">
        <f>Datensätze!C128</f>
        <v>Meridian Group</v>
      </c>
      <c r="D226" s="1" t="str">
        <f>Datensätze!K128</f>
        <v>Starter Plan</v>
      </c>
      <c r="E226" s="1" t="str">
        <f>Datensätze!L128</f>
        <v>Carlos Mendez</v>
      </c>
      <c r="F226" s="1" t="str">
        <f>Datensätze!F128</f>
        <v>Maya Rodriguez</v>
      </c>
      <c r="G226" s="1" t="str">
        <f>Datensätze!M128</f>
        <v>LATAM</v>
      </c>
      <c r="H226" s="1">
        <f>Datensätze!H128</f>
        <v>2</v>
      </c>
      <c r="I226" s="15">
        <f>Datensätze!N128</f>
        <v>63.83</v>
      </c>
      <c r="J226" s="9">
        <f>Datensätze!O128</f>
        <v>127.66</v>
      </c>
    </row>
    <row r="227" spans="1:10" ht="12.5">
      <c r="A227" s="1" t="str">
        <f>Datensätze!A129</f>
        <v>D-1128</v>
      </c>
      <c r="B227" s="4">
        <f>Datensätze!B129</f>
        <v>45744</v>
      </c>
      <c r="C227" s="1" t="str">
        <f>Datensätze!C129</f>
        <v>Juniper Group</v>
      </c>
      <c r="D227" s="1" t="str">
        <f>Datensätze!K129</f>
        <v>Enterprise Plan</v>
      </c>
      <c r="E227" s="1" t="str">
        <f>Datensätze!L129</f>
        <v>Carlos Mendez</v>
      </c>
      <c r="F227" s="1" t="str">
        <f>Datensätze!F129</f>
        <v>Maya Rodriguez</v>
      </c>
      <c r="G227" s="1" t="str">
        <f>Datensätze!M129</f>
        <v>LATAM</v>
      </c>
      <c r="H227" s="1">
        <f>Datensätze!H129</f>
        <v>1</v>
      </c>
      <c r="I227" s="15">
        <f>Datensätze!N129</f>
        <v>1360.14</v>
      </c>
      <c r="J227" s="9">
        <f>Datensätze!O129</f>
        <v>1360.14</v>
      </c>
    </row>
    <row r="228" spans="1:10" ht="12.5">
      <c r="A228" s="1" t="str">
        <f>Datensätze!A130</f>
        <v>D-1129</v>
      </c>
      <c r="B228" s="4">
        <f>Datensätze!B130</f>
        <v>45698</v>
      </c>
      <c r="C228" s="1" t="str">
        <f>Datensätze!C130</f>
        <v>Kinetic Labs</v>
      </c>
      <c r="D228" s="1" t="str">
        <f>Datensätze!K130</f>
        <v>Starter Plan</v>
      </c>
      <c r="E228" s="1" t="str">
        <f>Datensätze!L130</f>
        <v>Carlos Mendez</v>
      </c>
      <c r="F228" s="1" t="str">
        <f>Datensätze!F130</f>
        <v>Maya Rodriguez</v>
      </c>
      <c r="G228" s="1" t="str">
        <f>Datensätze!M130</f>
        <v>EMEA</v>
      </c>
      <c r="H228" s="1">
        <f>Datensätze!H130</f>
        <v>1</v>
      </c>
      <c r="I228" s="15">
        <f>Datensätze!N130</f>
        <v>57.44</v>
      </c>
      <c r="J228" s="9">
        <f>Datensätze!O130</f>
        <v>57.44</v>
      </c>
    </row>
    <row r="229" spans="1:10" ht="12.5">
      <c r="A229" s="1" t="str">
        <f>Datensätze!A131</f>
        <v>D-1130</v>
      </c>
      <c r="B229" s="4">
        <f>Datensätze!B131</f>
        <v>45728</v>
      </c>
      <c r="C229" s="1" t="str">
        <f>Datensätze!C131</f>
        <v>Lumen Labs</v>
      </c>
      <c r="D229" s="1" t="str">
        <f>Datensätze!K131</f>
        <v>Business Plan</v>
      </c>
      <c r="E229" s="1" t="str">
        <f>Datensätze!L131</f>
        <v>Raj Sharma</v>
      </c>
      <c r="F229" s="1" t="str">
        <f>Datensätze!F131</f>
        <v>Owen Walsh</v>
      </c>
      <c r="G229" s="1" t="str">
        <f>Datensätze!M131</f>
        <v>North America</v>
      </c>
      <c r="H229" s="1">
        <f>Datensätze!H131</f>
        <v>20</v>
      </c>
      <c r="I229" s="15">
        <f>Datensätze!N131</f>
        <v>368.26</v>
      </c>
      <c r="J229" s="9">
        <f>Datensätze!O131</f>
        <v>7365.2</v>
      </c>
    </row>
    <row r="230" spans="1:10" ht="12.5">
      <c r="A230" s="1" t="str">
        <f>Datensätze!A132</f>
        <v>D-1131</v>
      </c>
      <c r="B230" s="4">
        <f>Datensätze!B132</f>
        <v>45686</v>
      </c>
      <c r="C230" s="1" t="str">
        <f>Datensätze!C132</f>
        <v>Quill Labs</v>
      </c>
      <c r="D230" s="1" t="str">
        <f>Datensätze!K132</f>
        <v>Starter Plan</v>
      </c>
      <c r="E230" s="1" t="str">
        <f>Datensätze!L132</f>
        <v>Carlos Mendez</v>
      </c>
      <c r="F230" s="1" t="str">
        <f>Datensätze!F132</f>
        <v>Maya Rodriguez</v>
      </c>
      <c r="G230" s="1" t="str">
        <f>Datensätze!M132</f>
        <v>North America</v>
      </c>
      <c r="H230" s="1">
        <f>Datensätze!H132</f>
        <v>5</v>
      </c>
      <c r="I230" s="15">
        <f>Datensätze!N132</f>
        <v>45.35</v>
      </c>
      <c r="J230" s="9">
        <f>Datensätze!O132</f>
        <v>226.75</v>
      </c>
    </row>
    <row r="231" spans="1:10" ht="12.5">
      <c r="A231" s="1" t="str">
        <f>Datensätze!A133</f>
        <v>D-1132</v>
      </c>
      <c r="B231" s="4">
        <f>Datensätze!B133</f>
        <v>45662</v>
      </c>
      <c r="C231" s="1" t="str">
        <f>Datensätze!C133</f>
        <v>Quanta Labs</v>
      </c>
      <c r="D231" s="1" t="str">
        <f>Datensätze!K133</f>
        <v>Starter Plan</v>
      </c>
      <c r="E231" s="1" t="str">
        <f>Datensätze!L133</f>
        <v>Hannah Lee</v>
      </c>
      <c r="F231" s="1" t="str">
        <f>Datensätze!F133</f>
        <v>Owen Walsh</v>
      </c>
      <c r="G231" s="1" t="str">
        <f>Datensätze!M133</f>
        <v>APAC</v>
      </c>
      <c r="H231" s="1">
        <f>Datensätze!H133</f>
        <v>50</v>
      </c>
      <c r="I231" s="15">
        <f>Datensätze!N133</f>
        <v>70.680000000000007</v>
      </c>
      <c r="J231" s="9">
        <f>Datensätze!O133</f>
        <v>3534.0000000000005</v>
      </c>
    </row>
    <row r="232" spans="1:10" ht="12.5">
      <c r="A232" s="1" t="str">
        <f>Datensätze!A134</f>
        <v>D-1133</v>
      </c>
      <c r="B232" s="4">
        <f>Datensätze!B134</f>
        <v>45681</v>
      </c>
      <c r="C232" s="1" t="str">
        <f>Datensätze!C134</f>
        <v>Fusion Group</v>
      </c>
      <c r="D232" s="1" t="str">
        <f>Datensätze!K134</f>
        <v>Add-on: Support</v>
      </c>
      <c r="E232" s="1" t="str">
        <f>Datensätze!L134</f>
        <v>Aisha Hassan</v>
      </c>
      <c r="F232" s="1" t="str">
        <f>Datensätze!F134</f>
        <v>Sarah Chen</v>
      </c>
      <c r="G232" s="1" t="str">
        <f>Datensätze!M134</f>
        <v>EMEA</v>
      </c>
      <c r="H232" s="1">
        <f>Datensätze!H134</f>
        <v>1</v>
      </c>
      <c r="I232" s="15">
        <f>Datensätze!N134</f>
        <v>132.72999999999999</v>
      </c>
      <c r="J232" s="9">
        <f>Datensätze!O134</f>
        <v>132.72999999999999</v>
      </c>
    </row>
    <row r="233" spans="1:10" ht="12.5">
      <c r="A233" s="1" t="str">
        <f>Datensätze!A135</f>
        <v>D-1134</v>
      </c>
      <c r="B233" s="4">
        <f>Datensätze!B135</f>
        <v>45689</v>
      </c>
      <c r="C233" s="1" t="str">
        <f>Datensätze!C135</f>
        <v>Citadel Group</v>
      </c>
      <c r="D233" s="1" t="str">
        <f>Datensätze!K135</f>
        <v>Pro Plan</v>
      </c>
      <c r="E233" s="1" t="str">
        <f>Datensätze!L135</f>
        <v>Carlos Mendez</v>
      </c>
      <c r="F233" s="1" t="str">
        <f>Datensätze!F135</f>
        <v>Maya Rodriguez</v>
      </c>
      <c r="G233" s="1" t="str">
        <f>Datensätze!M135</f>
        <v>APAC</v>
      </c>
      <c r="H233" s="1">
        <f>Datensätze!H135</f>
        <v>1</v>
      </c>
      <c r="I233" s="15">
        <f>Datensätze!N135</f>
        <v>285.02</v>
      </c>
      <c r="J233" s="9">
        <f>Datensätze!O135</f>
        <v>285.02</v>
      </c>
    </row>
    <row r="234" spans="1:10" ht="12.5">
      <c r="A234" s="1" t="str">
        <f>Datensätze!A136</f>
        <v>D-1135</v>
      </c>
      <c r="B234" s="4">
        <f>Datensätze!B136</f>
        <v>45685</v>
      </c>
      <c r="C234" s="1" t="str">
        <f>Datensätze!C136</f>
        <v>Northwind Co</v>
      </c>
      <c r="D234" s="1" t="str">
        <f>Datensätze!K136</f>
        <v>Business Plan</v>
      </c>
      <c r="E234" s="1" t="str">
        <f>Datensätze!L136</f>
        <v>David Kim</v>
      </c>
      <c r="F234" s="1" t="str">
        <f>Datensätze!F136</f>
        <v>Sarah Chen</v>
      </c>
      <c r="G234" s="1" t="str">
        <f>Datensätze!M136</f>
        <v>North America</v>
      </c>
      <c r="H234" s="1">
        <f>Datensätze!H136</f>
        <v>1</v>
      </c>
      <c r="I234" s="15">
        <f>Datensätze!N136</f>
        <v>493.26</v>
      </c>
      <c r="J234" s="9">
        <f>Datensätze!O136</f>
        <v>493.26</v>
      </c>
    </row>
    <row r="235" spans="1:10" ht="12.5">
      <c r="A235" s="1" t="str">
        <f>Datensätze!A137</f>
        <v>D-1136</v>
      </c>
      <c r="B235" s="4">
        <f>Datensätze!B137</f>
        <v>45701</v>
      </c>
      <c r="C235" s="1" t="str">
        <f>Datensätze!C137</f>
        <v>Verdant Inc</v>
      </c>
      <c r="D235" s="1" t="str">
        <f>Datensätze!K137</f>
        <v>Add-on: Analytics</v>
      </c>
      <c r="E235" s="1" t="str">
        <f>Datensätze!L137</f>
        <v>Hannah Lee</v>
      </c>
      <c r="F235" s="1" t="str">
        <f>Datensätze!F137</f>
        <v>Owen Walsh</v>
      </c>
      <c r="G235" s="1" t="str">
        <f>Datensätze!M137</f>
        <v>LATAM</v>
      </c>
      <c r="H235" s="1">
        <f>Datensätze!H137</f>
        <v>10</v>
      </c>
      <c r="I235" s="15">
        <f>Datensätze!N137</f>
        <v>110.27</v>
      </c>
      <c r="J235" s="9">
        <f>Datensätze!O137</f>
        <v>1102.7</v>
      </c>
    </row>
    <row r="236" spans="1:10" ht="12.5">
      <c r="A236" s="1" t="str">
        <f>Datensätze!A138</f>
        <v>D-1137</v>
      </c>
      <c r="B236" s="4">
        <f>Datensätze!B138</f>
        <v>45721</v>
      </c>
      <c r="C236" s="1" t="str">
        <f>Datensätze!C138</f>
        <v>Kestrel Co</v>
      </c>
      <c r="D236" s="1" t="str">
        <f>Datensätze!K138</f>
        <v>Pro Plan</v>
      </c>
      <c r="E236" s="1" t="str">
        <f>Datensätze!L138</f>
        <v>Aisha Hassan</v>
      </c>
      <c r="F236" s="1" t="str">
        <f>Datensätze!F138</f>
        <v>Sarah Chen</v>
      </c>
      <c r="G236" s="1" t="str">
        <f>Datensätze!M138</f>
        <v>LATAM</v>
      </c>
      <c r="H236" s="1">
        <f>Datensätze!H138</f>
        <v>10</v>
      </c>
      <c r="I236" s="15">
        <f>Datensätze!N138</f>
        <v>222.01</v>
      </c>
      <c r="J236" s="9">
        <f>Datensätze!O138</f>
        <v>2220.1</v>
      </c>
    </row>
    <row r="237" spans="1:10" ht="12.5">
      <c r="A237" s="1" t="str">
        <f>Datensätze!A139</f>
        <v>D-1138</v>
      </c>
      <c r="B237" s="4">
        <f>Datensätze!B139</f>
        <v>45661</v>
      </c>
      <c r="C237" s="1" t="str">
        <f>Datensätze!C139</f>
        <v>Nova Inc</v>
      </c>
      <c r="D237" s="1" t="str">
        <f>Datensätze!K139</f>
        <v>Starter Plan</v>
      </c>
      <c r="E237" s="1" t="str">
        <f>Datensätze!L139</f>
        <v>Marcus Johnson</v>
      </c>
      <c r="F237" s="1" t="str">
        <f>Datensätze!F139</f>
        <v>Sarah Chen</v>
      </c>
      <c r="G237" s="1" t="str">
        <f>Datensätze!M139</f>
        <v>LATAM</v>
      </c>
      <c r="H237" s="1">
        <f>Datensätze!H139</f>
        <v>5</v>
      </c>
      <c r="I237" s="15">
        <f>Datensätze!N139</f>
        <v>53.28</v>
      </c>
      <c r="J237" s="9">
        <f>Datensätze!O139</f>
        <v>266.39999999999998</v>
      </c>
    </row>
    <row r="238" spans="1:10" ht="12.5">
      <c r="A238" s="1" t="str">
        <f>Datensätze!A140</f>
        <v>D-1139</v>
      </c>
      <c r="B238" s="4">
        <f>Datensätze!B140</f>
        <v>45733</v>
      </c>
      <c r="C238" s="1" t="str">
        <f>Datensätze!C140</f>
        <v>Pacific Co</v>
      </c>
      <c r="D238" s="1" t="str">
        <f>Datensätze!K140</f>
        <v>Business Plan</v>
      </c>
      <c r="E238" s="1" t="str">
        <f>Datensätze!L140</f>
        <v>Carlos Mendez</v>
      </c>
      <c r="F238" s="1" t="str">
        <f>Datensätze!F140</f>
        <v>Maya Rodriguez</v>
      </c>
      <c r="G238" s="1" t="str">
        <f>Datensätze!M140</f>
        <v>APAC</v>
      </c>
      <c r="H238" s="1">
        <f>Datensätze!H140</f>
        <v>1</v>
      </c>
      <c r="I238" s="15">
        <f>Datensätze!N140</f>
        <v>403.84</v>
      </c>
      <c r="J238" s="9">
        <f>Datensätze!O140</f>
        <v>403.84</v>
      </c>
    </row>
    <row r="239" spans="1:10" ht="12.5">
      <c r="A239" s="1" t="str">
        <f>Datensätze!A141</f>
        <v>D-1140</v>
      </c>
      <c r="B239" s="4">
        <f>Datensätze!B141</f>
        <v>45687</v>
      </c>
      <c r="C239" s="1" t="str">
        <f>Datensätze!C141</f>
        <v>Solstice Group</v>
      </c>
      <c r="D239" s="1" t="str">
        <f>Datensätze!K141</f>
        <v>Add-on: Support</v>
      </c>
      <c r="E239" s="1" t="str">
        <f>Datensätze!L141</f>
        <v>Priya Patel</v>
      </c>
      <c r="F239" s="1" t="str">
        <f>Datensätze!F141</f>
        <v>Maya Rodriguez</v>
      </c>
      <c r="G239" s="1" t="str">
        <f>Datensätze!M141</f>
        <v>APAC</v>
      </c>
      <c r="H239" s="1">
        <f>Datensätze!H141</f>
        <v>2</v>
      </c>
      <c r="I239" s="15">
        <f>Datensätze!N141</f>
        <v>122.21</v>
      </c>
      <c r="J239" s="9">
        <f>Datensätze!O141</f>
        <v>244.42</v>
      </c>
    </row>
    <row r="240" spans="1:10" ht="12.5">
      <c r="A240" s="1" t="str">
        <f>Datensätze!A142</f>
        <v>D-1141</v>
      </c>
      <c r="B240" s="4">
        <f>Datensätze!B142</f>
        <v>45667</v>
      </c>
      <c r="C240" s="1" t="str">
        <f>Datensätze!C142</f>
        <v>Nova Inc</v>
      </c>
      <c r="D240" s="1" t="str">
        <f>Datensätze!K142</f>
        <v>Enterprise Plan</v>
      </c>
      <c r="E240" s="1" t="str">
        <f>Datensätze!L142</f>
        <v>Elena Rossi</v>
      </c>
      <c r="F240" s="1" t="str">
        <f>Datensätze!F142</f>
        <v>Lukas Becker</v>
      </c>
      <c r="G240" s="1" t="str">
        <f>Datensätze!M142</f>
        <v>APAC</v>
      </c>
      <c r="H240" s="1">
        <f>Datensätze!H142</f>
        <v>1</v>
      </c>
      <c r="I240" s="15">
        <f>Datensätze!N142</f>
        <v>1234.1300000000001</v>
      </c>
      <c r="J240" s="9">
        <f>Datensätze!O142</f>
        <v>1234.1300000000001</v>
      </c>
    </row>
    <row r="241" spans="1:10" ht="12.5">
      <c r="A241" s="1" t="str">
        <f>Datensätze!A143</f>
        <v>D-1142</v>
      </c>
      <c r="B241" s="4">
        <f>Datensätze!B143</f>
        <v>45686</v>
      </c>
      <c r="C241" s="1" t="str">
        <f>Datensätze!C143</f>
        <v>Apex Group</v>
      </c>
      <c r="D241" s="1" t="str">
        <f>Datensätze!K143</f>
        <v>Business Plan</v>
      </c>
      <c r="E241" s="1" t="str">
        <f>Datensätze!L143</f>
        <v>Hannah Lee</v>
      </c>
      <c r="F241" s="1" t="str">
        <f>Datensätze!F143</f>
        <v>Owen Walsh</v>
      </c>
      <c r="G241" s="1" t="str">
        <f>Datensätze!M143</f>
        <v>North America</v>
      </c>
      <c r="H241" s="1">
        <f>Datensätze!H143</f>
        <v>1</v>
      </c>
      <c r="I241" s="15">
        <f>Datensätze!N143</f>
        <v>479.31</v>
      </c>
      <c r="J241" s="9">
        <f>Datensätze!O143</f>
        <v>479.31</v>
      </c>
    </row>
    <row r="242" spans="1:10" ht="12.5">
      <c r="A242" s="1" t="str">
        <f>Datensätze!A144</f>
        <v>D-1143</v>
      </c>
      <c r="B242" s="4">
        <f>Datensätze!B144</f>
        <v>45708</v>
      </c>
      <c r="C242" s="1" t="str">
        <f>Datensätze!C144</f>
        <v>Lumen Labs</v>
      </c>
      <c r="D242" s="1" t="str">
        <f>Datensätze!K144</f>
        <v>Starter Plan</v>
      </c>
      <c r="E242" s="1" t="str">
        <f>Datensätze!L144</f>
        <v>Raj Sharma</v>
      </c>
      <c r="F242" s="1" t="str">
        <f>Datensätze!F144</f>
        <v>Owen Walsh</v>
      </c>
      <c r="G242" s="1" t="str">
        <f>Datensätze!M144</f>
        <v>EMEA</v>
      </c>
      <c r="H242" s="1">
        <f>Datensätze!H144</f>
        <v>2</v>
      </c>
      <c r="I242" s="15">
        <f>Datensätze!N144</f>
        <v>72.12</v>
      </c>
      <c r="J242" s="9">
        <f>Datensätze!O144</f>
        <v>144.24</v>
      </c>
    </row>
    <row r="243" spans="1:10" ht="12.5">
      <c r="A243" s="1" t="str">
        <f>Datensätze!A145</f>
        <v>D-1144</v>
      </c>
      <c r="B243" s="4">
        <f>Datensätze!B145</f>
        <v>45680</v>
      </c>
      <c r="C243" s="1" t="str">
        <f>Datensätze!C145</f>
        <v>Onyx Group</v>
      </c>
      <c r="D243" s="1" t="str">
        <f>Datensätze!K145</f>
        <v>Add-on: Analytics</v>
      </c>
      <c r="E243" s="1" t="str">
        <f>Datensätze!L145</f>
        <v>Aisha Hassan</v>
      </c>
      <c r="F243" s="1" t="str">
        <f>Datensätze!F145</f>
        <v>Sarah Chen</v>
      </c>
      <c r="G243" s="1" t="str">
        <f>Datensätze!M145</f>
        <v>North America</v>
      </c>
      <c r="H243" s="1">
        <f>Datensätze!H145</f>
        <v>1</v>
      </c>
      <c r="I243" s="15">
        <f>Datensätze!N145</f>
        <v>76.11</v>
      </c>
      <c r="J243" s="9">
        <f>Datensätze!O145</f>
        <v>76.11</v>
      </c>
    </row>
    <row r="244" spans="1:10" ht="12.5">
      <c r="A244" s="1" t="str">
        <f>Datensätze!A146</f>
        <v>D-1145</v>
      </c>
      <c r="B244" s="4">
        <f>Datensätze!B146</f>
        <v>45718</v>
      </c>
      <c r="C244" s="1" t="str">
        <f>Datensätze!C146</f>
        <v>Stellar Co</v>
      </c>
      <c r="D244" s="1" t="str">
        <f>Datensätze!K146</f>
        <v>Business Plan</v>
      </c>
      <c r="E244" s="1" t="str">
        <f>Datensätze!L146</f>
        <v>Aisha Hassan</v>
      </c>
      <c r="F244" s="1" t="str">
        <f>Datensätze!F146</f>
        <v>Sarah Chen</v>
      </c>
      <c r="G244" s="1" t="str">
        <f>Datensätze!M146</f>
        <v>North America</v>
      </c>
      <c r="H244" s="1">
        <f>Datensätze!H146</f>
        <v>1</v>
      </c>
      <c r="I244" s="15">
        <f>Datensätze!N146</f>
        <v>498.06</v>
      </c>
      <c r="J244" s="9">
        <f>Datensätze!O146</f>
        <v>498.06</v>
      </c>
    </row>
    <row r="245" spans="1:10" ht="12.5">
      <c r="A245" s="1" t="str">
        <f>Datensätze!A147</f>
        <v>D-1146</v>
      </c>
      <c r="B245" s="4">
        <f>Datensätze!B147</f>
        <v>45688</v>
      </c>
      <c r="C245" s="1" t="str">
        <f>Datensätze!C147</f>
        <v>Borealis Co</v>
      </c>
      <c r="D245" s="1" t="str">
        <f>Datensätze!K147</f>
        <v>Starter Plan</v>
      </c>
      <c r="E245" s="1" t="str">
        <f>Datensätze!L147</f>
        <v>Marcus Johnson</v>
      </c>
      <c r="F245" s="1" t="str">
        <f>Datensätze!F147</f>
        <v>Sarah Chen</v>
      </c>
      <c r="G245" s="1" t="str">
        <f>Datensätze!M147</f>
        <v>North America</v>
      </c>
      <c r="H245" s="1">
        <f>Datensätze!H147</f>
        <v>2</v>
      </c>
      <c r="I245" s="15">
        <f>Datensätze!N147</f>
        <v>49.89</v>
      </c>
      <c r="J245" s="9">
        <f>Datensätze!O147</f>
        <v>99.78</v>
      </c>
    </row>
    <row r="246" spans="1:10" ht="12.5">
      <c r="A246" s="1" t="str">
        <f>Datensätze!A148</f>
        <v>D-1147</v>
      </c>
      <c r="B246" s="4">
        <f>Datensätze!B148</f>
        <v>45729</v>
      </c>
      <c r="C246" s="1" t="str">
        <f>Datensätze!C148</f>
        <v>Apex Group</v>
      </c>
      <c r="D246" s="1" t="str">
        <f>Datensätze!K148</f>
        <v>Pro Plan</v>
      </c>
      <c r="E246" s="1" t="str">
        <f>Datensätze!L148</f>
        <v>Marcus Johnson</v>
      </c>
      <c r="F246" s="1" t="str">
        <f>Datensätze!F148</f>
        <v>Sarah Chen</v>
      </c>
      <c r="G246" s="1" t="str">
        <f>Datensätze!M148</f>
        <v>EMEA</v>
      </c>
      <c r="H246" s="1">
        <f>Datensätze!H148</f>
        <v>10</v>
      </c>
      <c r="I246" s="15">
        <f>Datensätze!N148</f>
        <v>162.59</v>
      </c>
      <c r="J246" s="9">
        <f>Datensätze!O148</f>
        <v>1625.9</v>
      </c>
    </row>
    <row r="247" spans="1:10" ht="12.5">
      <c r="A247" s="1" t="str">
        <f>Datensätze!A149</f>
        <v>D-1148</v>
      </c>
      <c r="B247" s="4">
        <f>Datensätze!B149</f>
        <v>45675</v>
      </c>
      <c r="C247" s="1" t="str">
        <f>Datensätze!C149</f>
        <v>Catalyst Inc</v>
      </c>
      <c r="D247" s="1" t="str">
        <f>Datensätze!K149</f>
        <v>Business Plan</v>
      </c>
      <c r="E247" s="1" t="str">
        <f>Datensätze!L149</f>
        <v>Aisha Hassan</v>
      </c>
      <c r="F247" s="1" t="str">
        <f>Datensätze!F149</f>
        <v>Sarah Chen</v>
      </c>
      <c r="G247" s="1" t="str">
        <f>Datensätze!M149</f>
        <v>North America</v>
      </c>
      <c r="H247" s="1">
        <f>Datensätze!H149</f>
        <v>1</v>
      </c>
      <c r="I247" s="15">
        <f>Datensätze!N149</f>
        <v>407.67</v>
      </c>
      <c r="J247" s="9">
        <f>Datensätze!O149</f>
        <v>407.67</v>
      </c>
    </row>
    <row r="248" spans="1:10" ht="12.5">
      <c r="A248" s="1" t="str">
        <f>Datensätze!A150</f>
        <v>D-1149</v>
      </c>
      <c r="B248" s="4">
        <f>Datensätze!B150</f>
        <v>45711</v>
      </c>
      <c r="C248" s="1" t="str">
        <f>Datensätze!C150</f>
        <v>Granite Co</v>
      </c>
      <c r="D248" s="1" t="str">
        <f>Datensätze!K150</f>
        <v>Starter Plan</v>
      </c>
      <c r="E248" s="1" t="str">
        <f>Datensätze!L150</f>
        <v>Nina Petrov</v>
      </c>
      <c r="F248" s="1" t="str">
        <f>Datensätze!F150</f>
        <v>Lukas Becker</v>
      </c>
      <c r="G248" s="1" t="str">
        <f>Datensätze!M150</f>
        <v>EMEA</v>
      </c>
      <c r="H248" s="1">
        <f>Datensätze!H150</f>
        <v>10</v>
      </c>
      <c r="I248" s="15">
        <f>Datensätze!N150</f>
        <v>58.15</v>
      </c>
      <c r="J248" s="9">
        <f>Datensätze!O150</f>
        <v>581.5</v>
      </c>
    </row>
    <row r="249" spans="1:10" ht="12.5">
      <c r="A249" s="1" t="str">
        <f>Datensätze!A151</f>
        <v>D-1150</v>
      </c>
      <c r="B249" s="4">
        <f>Datensätze!B151</f>
        <v>45662</v>
      </c>
      <c r="C249" s="1" t="str">
        <f>Datensätze!C151</f>
        <v>Nimbus Co</v>
      </c>
      <c r="D249" s="1" t="str">
        <f>Datensätze!K151</f>
        <v>Pro Plan</v>
      </c>
      <c r="E249" s="1" t="str">
        <f>Datensätze!L151</f>
        <v>James Park</v>
      </c>
      <c r="F249" s="1" t="str">
        <f>Datensätze!F151</f>
        <v>Owen Walsh</v>
      </c>
      <c r="G249" s="1" t="str">
        <f>Datensätze!M151</f>
        <v>EMEA</v>
      </c>
      <c r="H249" s="1">
        <f>Datensätze!H151</f>
        <v>20</v>
      </c>
      <c r="I249" s="15">
        <f>Datensätze!N151</f>
        <v>192.21</v>
      </c>
      <c r="J249" s="9">
        <f>Datensätze!O151</f>
        <v>3844.2000000000003</v>
      </c>
    </row>
    <row r="250" spans="1:10" ht="12.5">
      <c r="A250" s="1" t="str">
        <f>Datensätze!A152</f>
        <v>D-1151</v>
      </c>
      <c r="B250" s="4">
        <f>Datensätze!B152</f>
        <v>45728</v>
      </c>
      <c r="C250" s="1" t="str">
        <f>Datensätze!C152</f>
        <v>Iris Co</v>
      </c>
      <c r="D250" s="1" t="str">
        <f>Datensätze!K152</f>
        <v>Add-on: Analytics</v>
      </c>
      <c r="E250" s="1" t="str">
        <f>Datensätze!L152</f>
        <v>Tom Wilson</v>
      </c>
      <c r="F250" s="1" t="str">
        <f>Datensätze!F152</f>
        <v>Lukas Becker</v>
      </c>
      <c r="G250" s="1" t="str">
        <f>Datensätze!M152</f>
        <v>EMEA</v>
      </c>
      <c r="H250" s="1">
        <f>Datensätze!H152</f>
        <v>10</v>
      </c>
      <c r="I250" s="15">
        <f>Datensätze!N152</f>
        <v>72.31</v>
      </c>
      <c r="J250" s="9">
        <f>Datensätze!O152</f>
        <v>723.1</v>
      </c>
    </row>
    <row r="251" spans="1:10" ht="12.5">
      <c r="A251" s="1" t="str">
        <f>Datensätze!A153</f>
        <v>D-1152</v>
      </c>
      <c r="B251" s="4">
        <f>Datensätze!B153</f>
        <v>45659</v>
      </c>
      <c r="C251" s="1" t="str">
        <f>Datensätze!C153</f>
        <v>Catalyst Inc</v>
      </c>
      <c r="D251" s="1" t="str">
        <f>Datensätze!K153</f>
        <v>Starter Plan</v>
      </c>
      <c r="E251" s="1" t="str">
        <f>Datensätze!L153</f>
        <v>Elena Rossi</v>
      </c>
      <c r="F251" s="1" t="str">
        <f>Datensätze!F153</f>
        <v>Lukas Becker</v>
      </c>
      <c r="G251" s="1" t="str">
        <f>Datensätze!M153</f>
        <v>North America</v>
      </c>
      <c r="H251" s="1">
        <f>Datensätze!H153</f>
        <v>1</v>
      </c>
      <c r="I251" s="15">
        <f>Datensätze!N153</f>
        <v>73.94</v>
      </c>
      <c r="J251" s="9">
        <f>Datensätze!O153</f>
        <v>73.94</v>
      </c>
    </row>
    <row r="252" spans="1:10" ht="12.5">
      <c r="A252" s="1" t="str">
        <f>Datensätze!A154</f>
        <v>D-1153</v>
      </c>
      <c r="B252" s="4">
        <f>Datensätze!B154</f>
        <v>45668</v>
      </c>
      <c r="C252" s="1" t="str">
        <f>Datensätze!C154</f>
        <v>Beacon Labs</v>
      </c>
      <c r="D252" s="1" t="str">
        <f>Datensätze!K154</f>
        <v>Pro Plan</v>
      </c>
      <c r="E252" s="1" t="str">
        <f>Datensätze!L154</f>
        <v>Marcus Johnson</v>
      </c>
      <c r="F252" s="1" t="str">
        <f>Datensätze!F154</f>
        <v>Sarah Chen</v>
      </c>
      <c r="G252" s="1" t="str">
        <f>Datensätze!M154</f>
        <v>North America</v>
      </c>
      <c r="H252" s="1">
        <f>Datensätze!H154</f>
        <v>1</v>
      </c>
      <c r="I252" s="15">
        <f>Datensätze!N154</f>
        <v>161.18</v>
      </c>
      <c r="J252" s="9">
        <f>Datensätze!O154</f>
        <v>161.18</v>
      </c>
    </row>
    <row r="253" spans="1:10" ht="12.5">
      <c r="A253" s="1" t="str">
        <f>Datensätze!A155</f>
        <v>D-1154</v>
      </c>
      <c r="B253" s="4">
        <f>Datensätze!B155</f>
        <v>45707</v>
      </c>
      <c r="C253" s="1" t="str">
        <f>Datensätze!C155</f>
        <v>Citadel Group</v>
      </c>
      <c r="D253" s="1" t="str">
        <f>Datensätze!K155</f>
        <v>Enterprise Plan</v>
      </c>
      <c r="E253" s="1" t="str">
        <f>Datensätze!L155</f>
        <v>Marcus Johnson</v>
      </c>
      <c r="F253" s="1" t="str">
        <f>Datensätze!F155</f>
        <v>Sarah Chen</v>
      </c>
      <c r="G253" s="1" t="str">
        <f>Datensätze!M155</f>
        <v>APAC</v>
      </c>
      <c r="H253" s="1">
        <f>Datensätze!H155</f>
        <v>10</v>
      </c>
      <c r="I253" s="15">
        <f>Datensätze!N155</f>
        <v>987.06</v>
      </c>
      <c r="J253" s="9">
        <f>Datensätze!O155</f>
        <v>9870.5999999999985</v>
      </c>
    </row>
    <row r="254" spans="1:10" ht="12.5">
      <c r="A254" s="1" t="str">
        <f>Datensätze!A156</f>
        <v>D-1155</v>
      </c>
      <c r="B254" s="4">
        <f>Datensätze!B156</f>
        <v>45667</v>
      </c>
      <c r="C254" s="1" t="str">
        <f>Datensätze!C156</f>
        <v>Juniper Group</v>
      </c>
      <c r="D254" s="1" t="str">
        <f>Datensätze!K156</f>
        <v>Pro Plan</v>
      </c>
      <c r="E254" s="1" t="str">
        <f>Datensätze!L156</f>
        <v>Nina Petrov</v>
      </c>
      <c r="F254" s="1" t="str">
        <f>Datensätze!F156</f>
        <v>Lukas Becker</v>
      </c>
      <c r="G254" s="1" t="str">
        <f>Datensätze!M156</f>
        <v>North America</v>
      </c>
      <c r="H254" s="1">
        <f>Datensätze!H156</f>
        <v>1</v>
      </c>
      <c r="I254" s="15">
        <f>Datensätze!N156</f>
        <v>219.47</v>
      </c>
      <c r="J254" s="9">
        <f>Datensätze!O156</f>
        <v>219.47</v>
      </c>
    </row>
    <row r="255" spans="1:10" ht="12.5">
      <c r="A255" s="1" t="str">
        <f>Datensätze!A157</f>
        <v>D-1156</v>
      </c>
      <c r="B255" s="4">
        <f>Datensätze!B157</f>
        <v>45743</v>
      </c>
      <c r="C255" s="1" t="str">
        <f>Datensätze!C157</f>
        <v>Kestrel Co</v>
      </c>
      <c r="D255" s="1" t="str">
        <f>Datensätze!K157</f>
        <v>Business Plan</v>
      </c>
      <c r="E255" s="1" t="str">
        <f>Datensätze!L157</f>
        <v>Priya Patel</v>
      </c>
      <c r="F255" s="1" t="str">
        <f>Datensätze!F157</f>
        <v>Maya Rodriguez</v>
      </c>
      <c r="G255" s="1" t="str">
        <f>Datensätze!M157</f>
        <v>EMEA</v>
      </c>
      <c r="H255" s="1">
        <f>Datensätze!H157</f>
        <v>2</v>
      </c>
      <c r="I255" s="15">
        <f>Datensätze!N157</f>
        <v>445.67</v>
      </c>
      <c r="J255" s="9">
        <f>Datensätze!O157</f>
        <v>891.34</v>
      </c>
    </row>
    <row r="256" spans="1:10" ht="12.5">
      <c r="A256" s="1" t="str">
        <f>Datensätze!A158</f>
        <v>D-1157</v>
      </c>
      <c r="B256" s="4">
        <f>Datensätze!B158</f>
        <v>45717</v>
      </c>
      <c r="C256" s="1" t="str">
        <f>Datensätze!C158</f>
        <v>Onyx Group</v>
      </c>
      <c r="D256" s="1" t="str">
        <f>Datensätze!K158</f>
        <v>Pro Plan</v>
      </c>
      <c r="E256" s="1" t="str">
        <f>Datensätze!L158</f>
        <v>Aisha Hassan</v>
      </c>
      <c r="F256" s="1" t="str">
        <f>Datensätze!F158</f>
        <v>Sarah Chen</v>
      </c>
      <c r="G256" s="1" t="str">
        <f>Datensätze!M158</f>
        <v>North America</v>
      </c>
      <c r="H256" s="1">
        <f>Datensätze!H158</f>
        <v>5</v>
      </c>
      <c r="I256" s="15">
        <f>Datensätze!N158</f>
        <v>185.31</v>
      </c>
      <c r="J256" s="9">
        <f>Datensätze!O158</f>
        <v>926.55</v>
      </c>
    </row>
    <row r="257" spans="1:10" ht="12.5">
      <c r="A257" s="1" t="str">
        <f>Datensätze!A159</f>
        <v>D-1158</v>
      </c>
      <c r="B257" s="4">
        <f>Datensätze!B159</f>
        <v>45678</v>
      </c>
      <c r="C257" s="1" t="str">
        <f>Datensätze!C159</f>
        <v>Foundry Group</v>
      </c>
      <c r="D257" s="1" t="str">
        <f>Datensätze!K159</f>
        <v>Add-on: Analytics</v>
      </c>
      <c r="E257" s="1" t="str">
        <f>Datensätze!L159</f>
        <v>Marcus Johnson</v>
      </c>
      <c r="F257" s="1" t="str">
        <f>Datensätze!F159</f>
        <v>Sarah Chen</v>
      </c>
      <c r="G257" s="1" t="str">
        <f>Datensätze!M159</f>
        <v>APAC</v>
      </c>
      <c r="H257" s="1">
        <f>Datensätze!H159</f>
        <v>5</v>
      </c>
      <c r="I257" s="15">
        <f>Datensätze!N159</f>
        <v>67.430000000000007</v>
      </c>
      <c r="J257" s="9">
        <f>Datensätze!O159</f>
        <v>337.15000000000003</v>
      </c>
    </row>
    <row r="258" spans="1:10" ht="12.5">
      <c r="A258" s="1" t="str">
        <f>Datensätze!A160</f>
        <v>D-1159</v>
      </c>
      <c r="B258" s="4">
        <f>Datensätze!B160</f>
        <v>45712</v>
      </c>
      <c r="C258" s="1" t="str">
        <f>Datensätze!C160</f>
        <v>Phoenix Co</v>
      </c>
      <c r="D258" s="1" t="str">
        <f>Datensätze!K160</f>
        <v>Enterprise Plan</v>
      </c>
      <c r="E258" s="1" t="str">
        <f>Datensätze!L160</f>
        <v>Carlos Mendez</v>
      </c>
      <c r="F258" s="1" t="str">
        <f>Datensätze!F160</f>
        <v>Maya Rodriguez</v>
      </c>
      <c r="G258" s="1" t="str">
        <f>Datensätze!M160</f>
        <v>North America</v>
      </c>
      <c r="H258" s="1">
        <f>Datensätze!H160</f>
        <v>1</v>
      </c>
      <c r="I258" s="15">
        <f>Datensätze!N160</f>
        <v>985.63</v>
      </c>
      <c r="J258" s="9">
        <f>Datensätze!O160</f>
        <v>985.63</v>
      </c>
    </row>
    <row r="259" spans="1:10" ht="12.5">
      <c r="A259" s="1" t="str">
        <f>Datensätze!A161</f>
        <v>D-1160</v>
      </c>
      <c r="B259" s="4">
        <f>Datensätze!B161</f>
        <v>45724</v>
      </c>
      <c r="C259" s="1" t="str">
        <f>Datensätze!C161</f>
        <v>Solstice Group</v>
      </c>
      <c r="D259" s="1" t="str">
        <f>Datensätze!K161</f>
        <v>Pro Plan</v>
      </c>
      <c r="E259" s="1" t="str">
        <f>Datensätze!L161</f>
        <v>Raj Sharma</v>
      </c>
      <c r="F259" s="1" t="str">
        <f>Datensätze!F161</f>
        <v>Owen Walsh</v>
      </c>
      <c r="G259" s="1" t="str">
        <f>Datensätze!M161</f>
        <v>North America</v>
      </c>
      <c r="H259" s="1">
        <f>Datensätze!H161</f>
        <v>1</v>
      </c>
      <c r="I259" s="15">
        <f>Datensätze!N161</f>
        <v>186.32</v>
      </c>
      <c r="J259" s="9">
        <f>Datensätze!O161</f>
        <v>186.32</v>
      </c>
    </row>
    <row r="260" spans="1:10" ht="12.5">
      <c r="A260" s="1" t="str">
        <f>Datensätze!A162</f>
        <v>D-1161</v>
      </c>
      <c r="B260" s="4">
        <f>Datensätze!B162</f>
        <v>45692</v>
      </c>
      <c r="C260" s="1" t="str">
        <f>Datensätze!C162</f>
        <v>Harbor Inc</v>
      </c>
      <c r="D260" s="1" t="str">
        <f>Datensätze!K162</f>
        <v>Business Plan</v>
      </c>
      <c r="E260" s="1" t="str">
        <f>Datensätze!L162</f>
        <v>Hannah Lee</v>
      </c>
      <c r="F260" s="1" t="str">
        <f>Datensätze!F162</f>
        <v>Owen Walsh</v>
      </c>
      <c r="G260" s="1" t="str">
        <f>Datensätze!M162</f>
        <v>North America</v>
      </c>
      <c r="H260" s="1">
        <f>Datensätze!H162</f>
        <v>5</v>
      </c>
      <c r="I260" s="15">
        <f>Datensätze!N162</f>
        <v>418.06</v>
      </c>
      <c r="J260" s="9">
        <f>Datensätze!O162</f>
        <v>2090.3000000000002</v>
      </c>
    </row>
    <row r="261" spans="1:10" ht="12.5">
      <c r="A261" s="1" t="str">
        <f>Datensätze!A163</f>
        <v>D-1162</v>
      </c>
      <c r="B261" s="4">
        <f>Datensätze!B163</f>
        <v>45717</v>
      </c>
      <c r="C261" s="1" t="str">
        <f>Datensätze!C163</f>
        <v>Lumen Labs</v>
      </c>
      <c r="D261" s="1" t="str">
        <f>Datensätze!K163</f>
        <v>Pro Plan</v>
      </c>
      <c r="E261" s="1" t="str">
        <f>Datensätze!L163</f>
        <v>Tom Wilson</v>
      </c>
      <c r="F261" s="1" t="str">
        <f>Datensätze!F163</f>
        <v>Lukas Becker</v>
      </c>
      <c r="G261" s="1" t="str">
        <f>Datensätze!M163</f>
        <v>APAC</v>
      </c>
      <c r="H261" s="1">
        <f>Datensätze!H163</f>
        <v>2</v>
      </c>
      <c r="I261" s="15">
        <f>Datensätze!N163</f>
        <v>262.29000000000002</v>
      </c>
      <c r="J261" s="9">
        <f>Datensätze!O163</f>
        <v>524.58000000000004</v>
      </c>
    </row>
    <row r="262" spans="1:10" ht="12.5">
      <c r="A262" s="1" t="str">
        <f>Datensätze!A164</f>
        <v>D-1163</v>
      </c>
      <c r="B262" s="4">
        <f>Datensätze!B164</f>
        <v>45735</v>
      </c>
      <c r="C262" s="1" t="str">
        <f>Datensätze!C164</f>
        <v>Juniper Group</v>
      </c>
      <c r="D262" s="1" t="str">
        <f>Datensätze!K164</f>
        <v>Add-on: Support</v>
      </c>
      <c r="E262" s="1" t="str">
        <f>Datensätze!L164</f>
        <v>Sophie Laurent</v>
      </c>
      <c r="F262" s="1" t="str">
        <f>Datensätze!F164</f>
        <v>Maya Rodriguez</v>
      </c>
      <c r="G262" s="1" t="str">
        <f>Datensätze!M164</f>
        <v>APAC</v>
      </c>
      <c r="H262" s="1">
        <f>Datensätze!H164</f>
        <v>10</v>
      </c>
      <c r="I262" s="15">
        <f>Datensätze!N164</f>
        <v>135.5</v>
      </c>
      <c r="J262" s="9">
        <f>Datensätze!O164</f>
        <v>1355</v>
      </c>
    </row>
    <row r="263" spans="1:10" ht="12.5">
      <c r="A263" s="1" t="str">
        <f>Datensätze!A165</f>
        <v>D-1164</v>
      </c>
      <c r="B263" s="4">
        <f>Datensätze!B165</f>
        <v>45679</v>
      </c>
      <c r="C263" s="1" t="str">
        <f>Datensätze!C165</f>
        <v>Vertex Inc</v>
      </c>
      <c r="D263" s="1" t="str">
        <f>Datensätze!K165</f>
        <v>Add-on: Analytics</v>
      </c>
      <c r="E263" s="1" t="str">
        <f>Datensätze!L165</f>
        <v>James Park</v>
      </c>
      <c r="F263" s="1" t="str">
        <f>Datensätze!F165</f>
        <v>Owen Walsh</v>
      </c>
      <c r="G263" s="1" t="str">
        <f>Datensätze!M165</f>
        <v>North America</v>
      </c>
      <c r="H263" s="1">
        <f>Datensätze!H165</f>
        <v>20</v>
      </c>
      <c r="I263" s="15">
        <f>Datensätze!N165</f>
        <v>98.54</v>
      </c>
      <c r="J263" s="9">
        <f>Datensätze!O165</f>
        <v>1970.8000000000002</v>
      </c>
    </row>
    <row r="264" spans="1:10" ht="12.5">
      <c r="A264" s="1" t="str">
        <f>Datensätze!A166</f>
        <v>D-1165</v>
      </c>
      <c r="B264" s="4">
        <f>Datensätze!B166</f>
        <v>45742</v>
      </c>
      <c r="C264" s="1" t="str">
        <f>Datensätze!C166</f>
        <v>Meridian Group</v>
      </c>
      <c r="D264" s="1" t="str">
        <f>Datensätze!K166</f>
        <v>Add-on: Analytics</v>
      </c>
      <c r="E264" s="1" t="str">
        <f>Datensätze!L166</f>
        <v>Nina Petrov</v>
      </c>
      <c r="F264" s="1" t="str">
        <f>Datensätze!F166</f>
        <v>Lukas Becker</v>
      </c>
      <c r="G264" s="1" t="str">
        <f>Datensätze!M166</f>
        <v>EMEA</v>
      </c>
      <c r="H264" s="1">
        <f>Datensätze!H166</f>
        <v>1</v>
      </c>
      <c r="I264" s="15">
        <f>Datensätze!N166</f>
        <v>95.13</v>
      </c>
      <c r="J264" s="9">
        <f>Datensätze!O166</f>
        <v>95.13</v>
      </c>
    </row>
    <row r="265" spans="1:10" ht="12.5">
      <c r="A265" s="1" t="str">
        <f>Datensätze!A167</f>
        <v>D-1166</v>
      </c>
      <c r="B265" s="4">
        <f>Datensätze!B167</f>
        <v>45734</v>
      </c>
      <c r="C265" s="1" t="str">
        <f>Datensätze!C167</f>
        <v>Phoenix Co</v>
      </c>
      <c r="D265" s="1" t="str">
        <f>Datensätze!K167</f>
        <v>Starter Plan</v>
      </c>
      <c r="E265" s="1" t="str">
        <f>Datensätze!L167</f>
        <v>David Kim</v>
      </c>
      <c r="F265" s="1" t="str">
        <f>Datensätze!F167</f>
        <v>Sarah Chen</v>
      </c>
      <c r="G265" s="1" t="str">
        <f>Datensätze!M167</f>
        <v>North America</v>
      </c>
      <c r="H265" s="1">
        <f>Datensätze!H167</f>
        <v>5</v>
      </c>
      <c r="I265" s="15">
        <f>Datensätze!N167</f>
        <v>75.13</v>
      </c>
      <c r="J265" s="9">
        <f>Datensätze!O167</f>
        <v>375.65</v>
      </c>
    </row>
    <row r="266" spans="1:10" ht="12.5">
      <c r="A266" s="1" t="str">
        <f>Datensätze!A168</f>
        <v>D-1167</v>
      </c>
      <c r="B266" s="4">
        <f>Datensätze!B168</f>
        <v>45677</v>
      </c>
      <c r="C266" s="1" t="str">
        <f>Datensätze!C168</f>
        <v>Lattice Co</v>
      </c>
      <c r="D266" s="1" t="str">
        <f>Datensätze!K168</f>
        <v>Business Plan</v>
      </c>
      <c r="E266" s="1" t="str">
        <f>Datensätze!L168</f>
        <v>Marcus Johnson</v>
      </c>
      <c r="F266" s="1" t="str">
        <f>Datensätze!F168</f>
        <v>Sarah Chen</v>
      </c>
      <c r="G266" s="1" t="str">
        <f>Datensätze!M168</f>
        <v>North America</v>
      </c>
      <c r="H266" s="1">
        <f>Datensätze!H168</f>
        <v>5</v>
      </c>
      <c r="I266" s="15">
        <f>Datensätze!N168</f>
        <v>404.19</v>
      </c>
      <c r="J266" s="9">
        <f>Datensätze!O168</f>
        <v>2020.95</v>
      </c>
    </row>
    <row r="267" spans="1:10" ht="12.5">
      <c r="A267" s="1" t="str">
        <f>Datensätze!A169</f>
        <v>D-1168</v>
      </c>
      <c r="B267" s="4">
        <f>Datensätze!B169</f>
        <v>45744</v>
      </c>
      <c r="C267" s="1" t="str">
        <f>Datensätze!C169</f>
        <v>Iris Co</v>
      </c>
      <c r="D267" s="1" t="str">
        <f>Datensätze!K169</f>
        <v>Pro Plan</v>
      </c>
      <c r="E267" s="1" t="str">
        <f>Datensätze!L169</f>
        <v>Nina Petrov</v>
      </c>
      <c r="F267" s="1" t="str">
        <f>Datensätze!F169</f>
        <v>Lukas Becker</v>
      </c>
      <c r="G267" s="1" t="str">
        <f>Datensätze!M169</f>
        <v>LATAM</v>
      </c>
      <c r="H267" s="1">
        <f>Datensätze!H169</f>
        <v>50</v>
      </c>
      <c r="I267" s="15">
        <f>Datensätze!N169</f>
        <v>201.51</v>
      </c>
      <c r="J267" s="9">
        <f>Datensätze!O169</f>
        <v>10075.5</v>
      </c>
    </row>
    <row r="268" spans="1:10" ht="12.5">
      <c r="A268" s="1" t="str">
        <f>Datensätze!A170</f>
        <v>D-1169</v>
      </c>
      <c r="B268" s="4">
        <f>Datensätze!B170</f>
        <v>45671</v>
      </c>
      <c r="C268" s="1" t="str">
        <f>Datensätze!C170</f>
        <v>Quartz Co</v>
      </c>
      <c r="D268" s="1" t="str">
        <f>Datensätze!K170</f>
        <v>Business Plan</v>
      </c>
      <c r="E268" s="1" t="str">
        <f>Datensätze!L170</f>
        <v>David Kim</v>
      </c>
      <c r="F268" s="1" t="str">
        <f>Datensätze!F170</f>
        <v>Sarah Chen</v>
      </c>
      <c r="G268" s="1" t="str">
        <f>Datensätze!M170</f>
        <v>EMEA</v>
      </c>
      <c r="H268" s="1">
        <f>Datensätze!H170</f>
        <v>1</v>
      </c>
      <c r="I268" s="15">
        <f>Datensätze!N170</f>
        <v>426.07</v>
      </c>
      <c r="J268" s="9">
        <f>Datensätze!O170</f>
        <v>426.07</v>
      </c>
    </row>
    <row r="269" spans="1:10" ht="12.5">
      <c r="A269" s="1" t="str">
        <f>Datensätze!A171</f>
        <v>D-1170</v>
      </c>
      <c r="B269" s="4">
        <f>Datensätze!B171</f>
        <v>45716</v>
      </c>
      <c r="C269" s="1" t="str">
        <f>Datensätze!C171</f>
        <v>Lumen Labs</v>
      </c>
      <c r="D269" s="1" t="str">
        <f>Datensätze!K171</f>
        <v>Business Plan</v>
      </c>
      <c r="E269" s="1" t="str">
        <f>Datensätze!L171</f>
        <v>Tom Wilson</v>
      </c>
      <c r="F269" s="1" t="str">
        <f>Datensätze!F171</f>
        <v>Lukas Becker</v>
      </c>
      <c r="G269" s="1" t="str">
        <f>Datensätze!M171</f>
        <v>LATAM</v>
      </c>
      <c r="H269" s="1">
        <f>Datensätze!H171</f>
        <v>2</v>
      </c>
      <c r="I269" s="15">
        <f>Datensätze!N171</f>
        <v>447.2</v>
      </c>
      <c r="J269" s="9">
        <f>Datensätze!O171</f>
        <v>894.4</v>
      </c>
    </row>
    <row r="270" spans="1:10" ht="12.5">
      <c r="A270" s="1" t="str">
        <f>Datensätze!A172</f>
        <v>D-1171</v>
      </c>
      <c r="B270" s="4">
        <f>Datensätze!B172</f>
        <v>45716</v>
      </c>
      <c r="C270" s="1" t="str">
        <f>Datensätze!C172</f>
        <v>Summit Group</v>
      </c>
      <c r="D270" s="1" t="str">
        <f>Datensätze!K172</f>
        <v>Starter Plan</v>
      </c>
      <c r="E270" s="1" t="str">
        <f>Datensätze!L172</f>
        <v>James Park</v>
      </c>
      <c r="F270" s="1" t="str">
        <f>Datensätze!F172</f>
        <v>Owen Walsh</v>
      </c>
      <c r="G270" s="1" t="str">
        <f>Datensätze!M172</f>
        <v>EMEA</v>
      </c>
      <c r="H270" s="1">
        <f>Datensätze!H172</f>
        <v>1</v>
      </c>
      <c r="I270" s="15">
        <f>Datensätze!N172</f>
        <v>41.17</v>
      </c>
      <c r="J270" s="9">
        <f>Datensätze!O172</f>
        <v>41.17</v>
      </c>
    </row>
    <row r="271" spans="1:10" ht="12.5">
      <c r="A271" s="1" t="str">
        <f>Datensätze!A173</f>
        <v>D-1172</v>
      </c>
      <c r="B271" s="4">
        <f>Datensätze!B173</f>
        <v>45674</v>
      </c>
      <c r="C271" s="1" t="str">
        <f>Datensätze!C173</f>
        <v>Pacific Co</v>
      </c>
      <c r="D271" s="1" t="str">
        <f>Datensätze!K173</f>
        <v>Add-on: Analytics</v>
      </c>
      <c r="E271" s="1" t="str">
        <f>Datensätze!L173</f>
        <v>David Kim</v>
      </c>
      <c r="F271" s="1" t="str">
        <f>Datensätze!F173</f>
        <v>Sarah Chen</v>
      </c>
      <c r="G271" s="1" t="str">
        <f>Datensätze!M173</f>
        <v>North America</v>
      </c>
      <c r="H271" s="1">
        <f>Datensätze!H173</f>
        <v>10</v>
      </c>
      <c r="I271" s="15">
        <f>Datensätze!N173</f>
        <v>82.73</v>
      </c>
      <c r="J271" s="9">
        <f>Datensätze!O173</f>
        <v>827.30000000000007</v>
      </c>
    </row>
    <row r="272" spans="1:10" ht="12.5">
      <c r="A272" s="1" t="str">
        <f>Datensätze!A174</f>
        <v>D-1173</v>
      </c>
      <c r="B272" s="4">
        <f>Datensätze!B174</f>
        <v>45731</v>
      </c>
      <c r="C272" s="1" t="str">
        <f>Datensätze!C174</f>
        <v>Lumen Labs</v>
      </c>
      <c r="D272" s="1" t="str">
        <f>Datensätze!K174</f>
        <v>Pro Plan</v>
      </c>
      <c r="E272" s="1" t="str">
        <f>Datensätze!L174</f>
        <v>Nina Petrov</v>
      </c>
      <c r="F272" s="1" t="str">
        <f>Datensätze!F174</f>
        <v>Lukas Becker</v>
      </c>
      <c r="G272" s="1" t="str">
        <f>Datensätze!M174</f>
        <v>APAC</v>
      </c>
      <c r="H272" s="1">
        <f>Datensätze!H174</f>
        <v>2</v>
      </c>
      <c r="I272" s="15">
        <f>Datensätze!N174</f>
        <v>226.97</v>
      </c>
      <c r="J272" s="9">
        <f>Datensätze!O174</f>
        <v>453.94</v>
      </c>
    </row>
    <row r="273" spans="1:10" ht="12.5">
      <c r="A273" s="1" t="str">
        <f>Datensätze!A175</f>
        <v>D-1174</v>
      </c>
      <c r="B273" s="4">
        <f>Datensätze!B175</f>
        <v>45723</v>
      </c>
      <c r="C273" s="1" t="str">
        <f>Datensätze!C175</f>
        <v>Catalyst Inc</v>
      </c>
      <c r="D273" s="1" t="str">
        <f>Datensätze!K175</f>
        <v>Pro Plan</v>
      </c>
      <c r="E273" s="1" t="str">
        <f>Datensätze!L175</f>
        <v>Nina Petrov</v>
      </c>
      <c r="F273" s="1" t="str">
        <f>Datensätze!F175</f>
        <v>Lukas Becker</v>
      </c>
      <c r="G273" s="1" t="str">
        <f>Datensätze!M175</f>
        <v>EMEA</v>
      </c>
      <c r="H273" s="1">
        <f>Datensätze!H175</f>
        <v>1</v>
      </c>
      <c r="I273" s="15">
        <f>Datensätze!N175</f>
        <v>153.63999999999999</v>
      </c>
      <c r="J273" s="9">
        <f>Datensätze!O175</f>
        <v>153.63999999999999</v>
      </c>
    </row>
    <row r="274" spans="1:10" ht="12.5">
      <c r="A274" s="1" t="str">
        <f>Datensätze!A176</f>
        <v>D-1175</v>
      </c>
      <c r="B274" s="4">
        <f>Datensätze!B176</f>
        <v>45709</v>
      </c>
      <c r="C274" s="1" t="str">
        <f>Datensätze!C176</f>
        <v>Granite Co</v>
      </c>
      <c r="D274" s="1" t="str">
        <f>Datensätze!K176</f>
        <v>Starter Plan</v>
      </c>
      <c r="E274" s="1" t="str">
        <f>Datensätze!L176</f>
        <v>Marcus Johnson</v>
      </c>
      <c r="F274" s="1" t="str">
        <f>Datensätze!F176</f>
        <v>Sarah Chen</v>
      </c>
      <c r="G274" s="1" t="str">
        <f>Datensätze!M176</f>
        <v>LATAM</v>
      </c>
      <c r="H274" s="1">
        <f>Datensätze!H176</f>
        <v>1</v>
      </c>
      <c r="I274" s="15">
        <f>Datensätze!N176</f>
        <v>60.23</v>
      </c>
      <c r="J274" s="9">
        <f>Datensätze!O176</f>
        <v>60.23</v>
      </c>
    </row>
    <row r="275" spans="1:10" ht="12.5">
      <c r="A275" s="1" t="str">
        <f>Datensätze!A177</f>
        <v>D-1176</v>
      </c>
      <c r="B275" s="4">
        <f>Datensätze!B177</f>
        <v>45733</v>
      </c>
      <c r="C275" s="1" t="str">
        <f>Datensätze!C177</f>
        <v>Summit Group</v>
      </c>
      <c r="D275" s="1" t="str">
        <f>Datensätze!K177</f>
        <v>Add-on: Support</v>
      </c>
      <c r="E275" s="1" t="str">
        <f>Datensätze!L177</f>
        <v>Hannah Lee</v>
      </c>
      <c r="F275" s="1" t="str">
        <f>Datensätze!F177</f>
        <v>Owen Walsh</v>
      </c>
      <c r="G275" s="1" t="str">
        <f>Datensätze!M177</f>
        <v>LATAM</v>
      </c>
      <c r="H275" s="1">
        <f>Datensätze!H177</f>
        <v>1</v>
      </c>
      <c r="I275" s="15">
        <f>Datensätze!N177</f>
        <v>120.48</v>
      </c>
      <c r="J275" s="9">
        <f>Datensätze!O177</f>
        <v>120.48</v>
      </c>
    </row>
    <row r="276" spans="1:10" ht="12.5">
      <c r="A276" s="1" t="str">
        <f>Datensätze!A178</f>
        <v>D-1177</v>
      </c>
      <c r="B276" s="4">
        <f>Datensätze!B178</f>
        <v>45740</v>
      </c>
      <c r="C276" s="1" t="str">
        <f>Datensätze!C178</f>
        <v>Onyx Group</v>
      </c>
      <c r="D276" s="1" t="str">
        <f>Datensätze!K178</f>
        <v>Starter Plan</v>
      </c>
      <c r="E276" s="1" t="str">
        <f>Datensätze!L178</f>
        <v>Nina Petrov</v>
      </c>
      <c r="F276" s="1" t="str">
        <f>Datensätze!F178</f>
        <v>Lukas Becker</v>
      </c>
      <c r="G276" s="1" t="str">
        <f>Datensätze!M178</f>
        <v>APAC</v>
      </c>
      <c r="H276" s="1">
        <f>Datensätze!H178</f>
        <v>1</v>
      </c>
      <c r="I276" s="15">
        <f>Datensätze!N178</f>
        <v>67.099999999999994</v>
      </c>
      <c r="J276" s="9">
        <f>Datensätze!O178</f>
        <v>67.099999999999994</v>
      </c>
    </row>
    <row r="277" spans="1:10" ht="12.5">
      <c r="A277" s="1" t="str">
        <f>Datensätze!A179</f>
        <v>D-1178</v>
      </c>
      <c r="B277" s="4">
        <f>Datensätze!B179</f>
        <v>45687</v>
      </c>
      <c r="C277" s="1" t="str">
        <f>Datensätze!C179</f>
        <v>Verdant Inc</v>
      </c>
      <c r="D277" s="1" t="str">
        <f>Datensätze!K179</f>
        <v>Enterprise Plan</v>
      </c>
      <c r="E277" s="1" t="str">
        <f>Datensätze!L179</f>
        <v>Marcus Johnson</v>
      </c>
      <c r="F277" s="1" t="str">
        <f>Datensätze!F179</f>
        <v>Sarah Chen</v>
      </c>
      <c r="G277" s="1" t="str">
        <f>Datensätze!M179</f>
        <v>EMEA</v>
      </c>
      <c r="H277" s="1">
        <f>Datensätze!H179</f>
        <v>20</v>
      </c>
      <c r="I277" s="15">
        <f>Datensätze!N179</f>
        <v>1004.37</v>
      </c>
      <c r="J277" s="9">
        <f>Datensätze!O179</f>
        <v>20087.400000000001</v>
      </c>
    </row>
    <row r="278" spans="1:10" ht="12.5">
      <c r="A278" s="1" t="str">
        <f>Datensätze!A180</f>
        <v>D-1179</v>
      </c>
      <c r="B278" s="4">
        <f>Datensätze!B180</f>
        <v>45717</v>
      </c>
      <c r="C278" s="1" t="str">
        <f>Datensätze!C180</f>
        <v>Kestrel Co</v>
      </c>
      <c r="D278" s="1" t="str">
        <f>Datensätze!K180</f>
        <v>Enterprise Plan</v>
      </c>
      <c r="E278" s="1" t="str">
        <f>Datensätze!L180</f>
        <v>Nina Petrov</v>
      </c>
      <c r="F278" s="1" t="str">
        <f>Datensätze!F180</f>
        <v>Lukas Becker</v>
      </c>
      <c r="G278" s="1" t="str">
        <f>Datensätze!M180</f>
        <v>LATAM</v>
      </c>
      <c r="H278" s="1">
        <f>Datensätze!H180</f>
        <v>1</v>
      </c>
      <c r="I278" s="15">
        <f>Datensätze!N180</f>
        <v>1309.46</v>
      </c>
      <c r="J278" s="9">
        <f>Datensätze!O180</f>
        <v>1309.46</v>
      </c>
    </row>
    <row r="279" spans="1:10" ht="12.5">
      <c r="A279" s="1" t="str">
        <f>Datensätze!A181</f>
        <v>D-1180</v>
      </c>
      <c r="B279" s="4">
        <f>Datensätze!B181</f>
        <v>45668</v>
      </c>
      <c r="C279" s="1" t="str">
        <f>Datensätze!C181</f>
        <v>Quanta Labs</v>
      </c>
      <c r="D279" s="1" t="str">
        <f>Datensätze!K181</f>
        <v>Add-on: Analytics</v>
      </c>
      <c r="E279" s="1" t="str">
        <f>Datensätze!L181</f>
        <v>Raj Sharma</v>
      </c>
      <c r="F279" s="1" t="str">
        <f>Datensätze!F181</f>
        <v>Owen Walsh</v>
      </c>
      <c r="G279" s="1" t="str">
        <f>Datensätze!M181</f>
        <v>APAC</v>
      </c>
      <c r="H279" s="1">
        <f>Datensätze!H181</f>
        <v>1</v>
      </c>
      <c r="I279" s="15">
        <f>Datensätze!N181</f>
        <v>95.39</v>
      </c>
      <c r="J279" s="9">
        <f>Datensätze!O181</f>
        <v>95.39</v>
      </c>
    </row>
    <row r="280" spans="1:10" ht="12.5">
      <c r="A280" s="1" t="str">
        <f>Datensätze!A182</f>
        <v>D-1181</v>
      </c>
      <c r="B280" s="4">
        <f>Datensätze!B182</f>
        <v>45696</v>
      </c>
      <c r="C280" s="1" t="str">
        <f>Datensätze!C182</f>
        <v>Summit Group</v>
      </c>
      <c r="D280" s="1" t="str">
        <f>Datensätze!K182</f>
        <v>Pro Plan</v>
      </c>
      <c r="E280" s="1" t="str">
        <f>Datensätze!L182</f>
        <v>Priya Patel</v>
      </c>
      <c r="F280" s="1" t="str">
        <f>Datensätze!F182</f>
        <v>Maya Rodriguez</v>
      </c>
      <c r="G280" s="1" t="str">
        <f>Datensätze!M182</f>
        <v>EMEA</v>
      </c>
      <c r="H280" s="1">
        <f>Datensätze!H182</f>
        <v>1</v>
      </c>
      <c r="I280" s="15">
        <f>Datensätze!N182</f>
        <v>235.36</v>
      </c>
      <c r="J280" s="9">
        <f>Datensätze!O182</f>
        <v>235.36</v>
      </c>
    </row>
    <row r="281" spans="1:10" ht="12.5">
      <c r="A281" s="1" t="str">
        <f>Datensätze!A183</f>
        <v>D-1182</v>
      </c>
      <c r="B281" s="4">
        <f>Datensätze!B183</f>
        <v>45676</v>
      </c>
      <c r="C281" s="1" t="str">
        <f>Datensätze!C183</f>
        <v>Vertex Inc</v>
      </c>
      <c r="D281" s="1" t="str">
        <f>Datensätze!K183</f>
        <v>Starter Plan</v>
      </c>
      <c r="E281" s="1" t="str">
        <f>Datensätze!L183</f>
        <v>Hannah Lee</v>
      </c>
      <c r="F281" s="1" t="str">
        <f>Datensätze!F183</f>
        <v>Owen Walsh</v>
      </c>
      <c r="G281" s="1" t="str">
        <f>Datensätze!M183</f>
        <v>North America</v>
      </c>
      <c r="H281" s="1">
        <f>Datensätze!H183</f>
        <v>10</v>
      </c>
      <c r="I281" s="15">
        <f>Datensätze!N183</f>
        <v>71.39</v>
      </c>
      <c r="J281" s="9">
        <f>Datensätze!O183</f>
        <v>713.9</v>
      </c>
    </row>
    <row r="282" spans="1:10" ht="12.5">
      <c r="A282" s="1" t="str">
        <f>Datensätze!A184</f>
        <v>D-1183</v>
      </c>
      <c r="B282" s="4">
        <f>Datensätze!B184</f>
        <v>45729</v>
      </c>
      <c r="C282" s="1" t="str">
        <f>Datensätze!C184</f>
        <v>Beacon Labs</v>
      </c>
      <c r="D282" s="1" t="str">
        <f>Datensätze!K184</f>
        <v>Starter Plan</v>
      </c>
      <c r="E282" s="1" t="str">
        <f>Datensätze!L184</f>
        <v>Aisha Hassan</v>
      </c>
      <c r="F282" s="1" t="str">
        <f>Datensätze!F184</f>
        <v>Sarah Chen</v>
      </c>
      <c r="G282" s="1" t="str">
        <f>Datensätze!M184</f>
        <v>North America</v>
      </c>
      <c r="H282" s="1">
        <f>Datensätze!H184</f>
        <v>2</v>
      </c>
      <c r="I282" s="15">
        <f>Datensätze!N184</f>
        <v>58.93</v>
      </c>
      <c r="J282" s="9">
        <f>Datensätze!O184</f>
        <v>117.86</v>
      </c>
    </row>
    <row r="283" spans="1:10" ht="12.5">
      <c r="A283" s="1" t="str">
        <f>Datensätze!A185</f>
        <v>D-1184</v>
      </c>
      <c r="B283" s="4">
        <f>Datensätze!B185</f>
        <v>45715</v>
      </c>
      <c r="C283" s="1" t="str">
        <f>Datensätze!C185</f>
        <v>Quill Labs</v>
      </c>
      <c r="D283" s="1" t="str">
        <f>Datensätze!K185</f>
        <v>Pro Plan</v>
      </c>
      <c r="E283" s="1" t="str">
        <f>Datensätze!L185</f>
        <v>Hannah Lee</v>
      </c>
      <c r="F283" s="1" t="str">
        <f>Datensätze!F185</f>
        <v>Owen Walsh</v>
      </c>
      <c r="G283" s="1" t="str">
        <f>Datensätze!M185</f>
        <v>APAC</v>
      </c>
      <c r="H283" s="1">
        <f>Datensätze!H185</f>
        <v>5</v>
      </c>
      <c r="I283" s="15">
        <f>Datensätze!N185</f>
        <v>259.85000000000002</v>
      </c>
      <c r="J283" s="9">
        <f>Datensätze!O185</f>
        <v>1299.25</v>
      </c>
    </row>
    <row r="284" spans="1:10" ht="12.5">
      <c r="A284" s="1" t="str">
        <f>Datensätze!A186</f>
        <v>D-1185</v>
      </c>
      <c r="B284" s="4">
        <f>Datensätze!B186</f>
        <v>45746</v>
      </c>
      <c r="C284" s="1" t="str">
        <f>Datensätze!C186</f>
        <v>Iris Co</v>
      </c>
      <c r="D284" s="1" t="str">
        <f>Datensätze!K186</f>
        <v>Starter Plan</v>
      </c>
      <c r="E284" s="1" t="str">
        <f>Datensätze!L186</f>
        <v>Marcus Johnson</v>
      </c>
      <c r="F284" s="1" t="str">
        <f>Datensätze!F186</f>
        <v>Sarah Chen</v>
      </c>
      <c r="G284" s="1" t="str">
        <f>Datensätze!M186</f>
        <v>EMEA</v>
      </c>
      <c r="H284" s="1">
        <f>Datensätze!H186</f>
        <v>2</v>
      </c>
      <c r="I284" s="15">
        <f>Datensätze!N186</f>
        <v>75.290000000000006</v>
      </c>
      <c r="J284" s="9">
        <f>Datensätze!O186</f>
        <v>150.58000000000001</v>
      </c>
    </row>
    <row r="285" spans="1:10" ht="12.5">
      <c r="A285" s="1" t="str">
        <f>Datensätze!A187</f>
        <v>D-1186</v>
      </c>
      <c r="B285" s="4">
        <f>Datensätze!B187</f>
        <v>45744</v>
      </c>
      <c r="C285" s="1" t="str">
        <f>Datensätze!C187</f>
        <v>Lattice Co</v>
      </c>
      <c r="D285" s="1" t="str">
        <f>Datensätze!K187</f>
        <v>Starter Plan</v>
      </c>
      <c r="E285" s="1" t="str">
        <f>Datensätze!L187</f>
        <v>Priya Patel</v>
      </c>
      <c r="F285" s="1" t="str">
        <f>Datensätze!F187</f>
        <v>Maya Rodriguez</v>
      </c>
      <c r="G285" s="1" t="str">
        <f>Datensätze!M187</f>
        <v>APAC</v>
      </c>
      <c r="H285" s="1">
        <f>Datensätze!H187</f>
        <v>1</v>
      </c>
      <c r="I285" s="15">
        <f>Datensätze!N187</f>
        <v>59.63</v>
      </c>
      <c r="J285" s="9">
        <f>Datensätze!O187</f>
        <v>59.63</v>
      </c>
    </row>
    <row r="286" spans="1:10" ht="12.5">
      <c r="A286" s="1" t="str">
        <f>Datensätze!A188</f>
        <v>D-1187</v>
      </c>
      <c r="B286" s="4">
        <f>Datensätze!B188</f>
        <v>45669</v>
      </c>
      <c r="C286" s="1" t="str">
        <f>Datensätze!C188</f>
        <v>Granite Co</v>
      </c>
      <c r="D286" s="1" t="str">
        <f>Datensätze!K188</f>
        <v>Pro Plan</v>
      </c>
      <c r="E286" s="1" t="str">
        <f>Datensätze!L188</f>
        <v>Sophie Laurent</v>
      </c>
      <c r="F286" s="1" t="str">
        <f>Datensätze!F188</f>
        <v>Maya Rodriguez</v>
      </c>
      <c r="G286" s="1" t="str">
        <f>Datensätze!M188</f>
        <v>North America</v>
      </c>
      <c r="H286" s="1">
        <f>Datensätze!H188</f>
        <v>2</v>
      </c>
      <c r="I286" s="15">
        <f>Datensätze!N188</f>
        <v>251.17</v>
      </c>
      <c r="J286" s="9">
        <f>Datensätze!O188</f>
        <v>502.34</v>
      </c>
    </row>
    <row r="287" spans="1:10" ht="12.5">
      <c r="A287" s="1" t="str">
        <f>Datensätze!A189</f>
        <v>D-1188</v>
      </c>
      <c r="B287" s="4">
        <f>Datensätze!B189</f>
        <v>45740</v>
      </c>
      <c r="C287" s="1" t="str">
        <f>Datensätze!C189</f>
        <v>Catalyst Inc</v>
      </c>
      <c r="D287" s="1" t="str">
        <f>Datensätze!K189</f>
        <v>Pro Plan</v>
      </c>
      <c r="E287" s="1" t="str">
        <f>Datensätze!L189</f>
        <v>Carlos Mendez</v>
      </c>
      <c r="F287" s="1" t="str">
        <f>Datensätze!F189</f>
        <v>Maya Rodriguez</v>
      </c>
      <c r="G287" s="1" t="str">
        <f>Datensätze!M189</f>
        <v>LATAM</v>
      </c>
      <c r="H287" s="1">
        <f>Datensätze!H189</f>
        <v>1</v>
      </c>
      <c r="I287" s="15">
        <f>Datensätze!N189</f>
        <v>187.23</v>
      </c>
      <c r="J287" s="9">
        <f>Datensätze!O189</f>
        <v>187.23</v>
      </c>
    </row>
    <row r="288" spans="1:10" ht="12.5">
      <c r="A288" s="1" t="str">
        <f>Datensätze!A190</f>
        <v>D-1189</v>
      </c>
      <c r="B288" s="4">
        <f>Datensätze!B190</f>
        <v>45742</v>
      </c>
      <c r="C288" s="1" t="str">
        <f>Datensätze!C190</f>
        <v>Nimbus Co</v>
      </c>
      <c r="D288" s="1" t="str">
        <f>Datensätze!K190</f>
        <v>Starter Plan</v>
      </c>
      <c r="E288" s="1" t="str">
        <f>Datensätze!L190</f>
        <v>Priya Patel</v>
      </c>
      <c r="F288" s="1" t="str">
        <f>Datensätze!F190</f>
        <v>Maya Rodriguez</v>
      </c>
      <c r="G288" s="1" t="str">
        <f>Datensätze!M190</f>
        <v>EMEA</v>
      </c>
      <c r="H288" s="1">
        <f>Datensätze!H190</f>
        <v>1</v>
      </c>
      <c r="I288" s="15">
        <f>Datensätze!N190</f>
        <v>66.010000000000005</v>
      </c>
      <c r="J288" s="9">
        <f>Datensätze!O190</f>
        <v>66.010000000000005</v>
      </c>
    </row>
    <row r="289" spans="1:10" ht="12.5">
      <c r="A289" s="1" t="str">
        <f>Datensätze!A191</f>
        <v>D-1190</v>
      </c>
      <c r="B289" s="4">
        <f>Datensätze!B191</f>
        <v>45683</v>
      </c>
      <c r="C289" s="1" t="str">
        <f>Datensätze!C191</f>
        <v>Prism Group</v>
      </c>
      <c r="D289" s="1" t="str">
        <f>Datensätze!K191</f>
        <v>Pro Plan</v>
      </c>
      <c r="E289" s="1" t="str">
        <f>Datensätze!L191</f>
        <v>Priya Patel</v>
      </c>
      <c r="F289" s="1" t="str">
        <f>Datensätze!F191</f>
        <v>Maya Rodriguez</v>
      </c>
      <c r="G289" s="1" t="str">
        <f>Datensätze!M191</f>
        <v>North America</v>
      </c>
      <c r="H289" s="1">
        <f>Datensätze!H191</f>
        <v>5</v>
      </c>
      <c r="I289" s="15">
        <f>Datensätze!N191</f>
        <v>154.79</v>
      </c>
      <c r="J289" s="9">
        <f>Datensätze!O191</f>
        <v>773.94999999999993</v>
      </c>
    </row>
    <row r="290" spans="1:10" ht="12.5">
      <c r="A290" s="1" t="str">
        <f>Datensätze!A192</f>
        <v>D-1191</v>
      </c>
      <c r="B290" s="4">
        <f>Datensätze!B192</f>
        <v>45699</v>
      </c>
      <c r="C290" s="1" t="str">
        <f>Datensätze!C192</f>
        <v>Lumen Labs</v>
      </c>
      <c r="D290" s="1" t="str">
        <f>Datensätze!K192</f>
        <v>Add-on: Analytics</v>
      </c>
      <c r="E290" s="1" t="str">
        <f>Datensätze!L192</f>
        <v>Carlos Mendez</v>
      </c>
      <c r="F290" s="1" t="str">
        <f>Datensätze!F192</f>
        <v>Maya Rodriguez</v>
      </c>
      <c r="G290" s="1" t="str">
        <f>Datensätze!M192</f>
        <v>LATAM</v>
      </c>
      <c r="H290" s="1">
        <f>Datensätze!H192</f>
        <v>1</v>
      </c>
      <c r="I290" s="15">
        <f>Datensätze!N192</f>
        <v>78.92</v>
      </c>
      <c r="J290" s="9">
        <f>Datensätze!O192</f>
        <v>78.92</v>
      </c>
    </row>
    <row r="291" spans="1:10" ht="12.5">
      <c r="A291" s="1" t="str">
        <f>Datensätze!A193</f>
        <v>D-1192</v>
      </c>
      <c r="B291" s="4">
        <f>Datensätze!B193</f>
        <v>45737</v>
      </c>
      <c r="C291" s="1" t="str">
        <f>Datensätze!C193</f>
        <v>Beacon Labs</v>
      </c>
      <c r="D291" s="1" t="str">
        <f>Datensätze!K193</f>
        <v>Pro Plan</v>
      </c>
      <c r="E291" s="1" t="str">
        <f>Datensätze!L193</f>
        <v>Aisha Hassan</v>
      </c>
      <c r="F291" s="1" t="str">
        <f>Datensätze!F193</f>
        <v>Sarah Chen</v>
      </c>
      <c r="G291" s="1" t="str">
        <f>Datensätze!M193</f>
        <v>APAC</v>
      </c>
      <c r="H291" s="1">
        <f>Datensätze!H193</f>
        <v>2</v>
      </c>
      <c r="I291" s="15">
        <f>Datensätze!N193</f>
        <v>218.98</v>
      </c>
      <c r="J291" s="9">
        <f>Datensätze!O193</f>
        <v>437.96</v>
      </c>
    </row>
    <row r="292" spans="1:10" ht="12.5">
      <c r="A292" s="1" t="str">
        <f>Datensätze!A194</f>
        <v>D-1193</v>
      </c>
      <c r="B292" s="4">
        <f>Datensätze!B194</f>
        <v>45732</v>
      </c>
      <c r="C292" s="1" t="str">
        <f>Datensätze!C194</f>
        <v>Atlas Group</v>
      </c>
      <c r="D292" s="1" t="str">
        <f>Datensätze!K194</f>
        <v>Add-on: Support</v>
      </c>
      <c r="E292" s="1" t="str">
        <f>Datensätze!L194</f>
        <v>Hannah Lee</v>
      </c>
      <c r="F292" s="1" t="str">
        <f>Datensätze!F194</f>
        <v>Owen Walsh</v>
      </c>
      <c r="G292" s="1" t="str">
        <f>Datensätze!M194</f>
        <v>LATAM</v>
      </c>
      <c r="H292" s="1">
        <f>Datensätze!H194</f>
        <v>20</v>
      </c>
      <c r="I292" s="15">
        <f>Datensätze!N194</f>
        <v>81.95</v>
      </c>
      <c r="J292" s="9">
        <f>Datensätze!O194</f>
        <v>1639</v>
      </c>
    </row>
    <row r="293" spans="1:10" ht="12.5">
      <c r="A293" s="1" t="str">
        <f>Datensätze!A195</f>
        <v>D-1194</v>
      </c>
      <c r="B293" s="4">
        <f>Datensätze!B195</f>
        <v>45662</v>
      </c>
      <c r="C293" s="1" t="str">
        <f>Datensätze!C195</f>
        <v>Onyx Group</v>
      </c>
      <c r="D293" s="1" t="str">
        <f>Datensätze!K195</f>
        <v>Pro Plan</v>
      </c>
      <c r="E293" s="1" t="str">
        <f>Datensätze!L195</f>
        <v>Sophie Laurent</v>
      </c>
      <c r="F293" s="1" t="str">
        <f>Datensätze!F195</f>
        <v>Maya Rodriguez</v>
      </c>
      <c r="G293" s="1" t="str">
        <f>Datensätze!M195</f>
        <v>North America</v>
      </c>
      <c r="H293" s="1">
        <f>Datensätze!H195</f>
        <v>2</v>
      </c>
      <c r="I293" s="15">
        <f>Datensätze!N195</f>
        <v>193.5</v>
      </c>
      <c r="J293" s="9">
        <f>Datensätze!O195</f>
        <v>387</v>
      </c>
    </row>
    <row r="294" spans="1:10" ht="12.5">
      <c r="A294" s="1" t="str">
        <f>Datensätze!A196</f>
        <v>D-1195</v>
      </c>
      <c r="B294" s="4">
        <f>Datensätze!B196</f>
        <v>45706</v>
      </c>
      <c r="C294" s="1" t="str">
        <f>Datensätze!C196</f>
        <v>Atlas Group</v>
      </c>
      <c r="D294" s="1" t="str">
        <f>Datensätze!K196</f>
        <v>Pro Plan</v>
      </c>
      <c r="E294" s="1" t="str">
        <f>Datensätze!L196</f>
        <v>Raj Sharma</v>
      </c>
      <c r="F294" s="1" t="str">
        <f>Datensätze!F196</f>
        <v>Owen Walsh</v>
      </c>
      <c r="G294" s="1" t="str">
        <f>Datensätze!M196</f>
        <v>North America</v>
      </c>
      <c r="H294" s="1">
        <f>Datensätze!H196</f>
        <v>20</v>
      </c>
      <c r="I294" s="15">
        <f>Datensätze!N196</f>
        <v>288.10000000000002</v>
      </c>
      <c r="J294" s="9">
        <f>Datensätze!O196</f>
        <v>5762</v>
      </c>
    </row>
    <row r="295" spans="1:10" ht="12.5">
      <c r="A295" s="1" t="str">
        <f>Datensätze!A197</f>
        <v>D-1196</v>
      </c>
      <c r="B295" s="4">
        <f>Datensätze!B197</f>
        <v>45733</v>
      </c>
      <c r="C295" s="1" t="str">
        <f>Datensätze!C197</f>
        <v>Quartz Co</v>
      </c>
      <c r="D295" s="1" t="str">
        <f>Datensätze!K197</f>
        <v>Starter Plan</v>
      </c>
      <c r="E295" s="1" t="str">
        <f>Datensätze!L197</f>
        <v>Priya Patel</v>
      </c>
      <c r="F295" s="1" t="str">
        <f>Datensätze!F197</f>
        <v>Maya Rodriguez</v>
      </c>
      <c r="G295" s="1" t="str">
        <f>Datensätze!M197</f>
        <v>North America</v>
      </c>
      <c r="H295" s="1">
        <f>Datensätze!H197</f>
        <v>2</v>
      </c>
      <c r="I295" s="15">
        <f>Datensätze!N197</f>
        <v>62.77</v>
      </c>
      <c r="J295" s="9">
        <f>Datensätze!O197</f>
        <v>125.54</v>
      </c>
    </row>
    <row r="296" spans="1:10" ht="12.5">
      <c r="A296" s="1" t="str">
        <f>Datensätze!A198</f>
        <v>D-1197</v>
      </c>
      <c r="B296" s="4">
        <f>Datensätze!B198</f>
        <v>45677</v>
      </c>
      <c r="C296" s="1" t="str">
        <f>Datensätze!C198</f>
        <v>Rivet Co</v>
      </c>
      <c r="D296" s="1" t="str">
        <f>Datensätze!K198</f>
        <v>Starter Plan</v>
      </c>
      <c r="E296" s="1" t="str">
        <f>Datensätze!L198</f>
        <v>Tom Wilson</v>
      </c>
      <c r="F296" s="1" t="str">
        <f>Datensätze!F198</f>
        <v>Lukas Becker</v>
      </c>
      <c r="G296" s="1" t="str">
        <f>Datensätze!M198</f>
        <v>LATAM</v>
      </c>
      <c r="H296" s="1">
        <f>Datensätze!H198</f>
        <v>20</v>
      </c>
      <c r="I296" s="15">
        <f>Datensätze!N198</f>
        <v>59.94</v>
      </c>
      <c r="J296" s="9">
        <f>Datensätze!O198</f>
        <v>1198.8</v>
      </c>
    </row>
    <row r="297" spans="1:10" ht="12.5">
      <c r="A297" s="1" t="str">
        <f>Datensätze!A199</f>
        <v>D-1198</v>
      </c>
      <c r="B297" s="4">
        <f>Datensätze!B199</f>
        <v>45672</v>
      </c>
      <c r="C297" s="1" t="str">
        <f>Datensätze!C199</f>
        <v>Juniper Group</v>
      </c>
      <c r="D297" s="1" t="str">
        <f>Datensätze!K199</f>
        <v>Business Plan</v>
      </c>
      <c r="E297" s="1" t="str">
        <f>Datensätze!L199</f>
        <v>Aisha Hassan</v>
      </c>
      <c r="F297" s="1" t="str">
        <f>Datensätze!F199</f>
        <v>Sarah Chen</v>
      </c>
      <c r="G297" s="1" t="str">
        <f>Datensätze!M199</f>
        <v>EMEA</v>
      </c>
      <c r="H297" s="1">
        <f>Datensätze!H199</f>
        <v>1</v>
      </c>
      <c r="I297" s="15">
        <f>Datensätze!N199</f>
        <v>420.94</v>
      </c>
      <c r="J297" s="9">
        <f>Datensätze!O199</f>
        <v>420.94</v>
      </c>
    </row>
    <row r="298" spans="1:10" ht="12.5">
      <c r="A298" s="1" t="str">
        <f>Datensätze!A200</f>
        <v>D-1199</v>
      </c>
      <c r="B298" s="4">
        <f>Datensätze!B200</f>
        <v>45686</v>
      </c>
      <c r="C298" s="1" t="str">
        <f>Datensätze!C200</f>
        <v>Meridian Group</v>
      </c>
      <c r="D298" s="1" t="str">
        <f>Datensätze!K200</f>
        <v>Starter Plan</v>
      </c>
      <c r="E298" s="1" t="str">
        <f>Datensätze!L200</f>
        <v>Carlos Mendez</v>
      </c>
      <c r="F298" s="1" t="str">
        <f>Datensätze!F200</f>
        <v>Maya Rodriguez</v>
      </c>
      <c r="G298" s="1" t="str">
        <f>Datensätze!M200</f>
        <v>EMEA</v>
      </c>
      <c r="H298" s="1">
        <f>Datensätze!H200</f>
        <v>1</v>
      </c>
      <c r="I298" s="15">
        <f>Datensätze!N200</f>
        <v>49.17</v>
      </c>
      <c r="J298" s="9">
        <f>Datensätze!O200</f>
        <v>49.17</v>
      </c>
    </row>
    <row r="299" spans="1:10" ht="12.5">
      <c r="A299" s="1" t="str">
        <f>Datensätze!A201</f>
        <v>D-1200</v>
      </c>
      <c r="B299" s="4">
        <f>Datensätze!B201</f>
        <v>45683</v>
      </c>
      <c r="C299" s="1" t="str">
        <f>Datensätze!C201</f>
        <v>Cascade Group</v>
      </c>
      <c r="D299" s="1" t="str">
        <f>Datensätze!K201</f>
        <v>Business Plan</v>
      </c>
      <c r="E299" s="1" t="str">
        <f>Datensätze!L201</f>
        <v>David Kim</v>
      </c>
      <c r="F299" s="1" t="str">
        <f>Datensätze!F201</f>
        <v>Sarah Chen</v>
      </c>
      <c r="G299" s="1" t="str">
        <f>Datensätze!M201</f>
        <v>EMEA</v>
      </c>
      <c r="H299" s="1">
        <f>Datensätze!H201</f>
        <v>1</v>
      </c>
      <c r="I299" s="15">
        <f>Datensätze!N201</f>
        <v>402.09</v>
      </c>
      <c r="J299" s="9">
        <f>Datensätze!O201</f>
        <v>402.09</v>
      </c>
    </row>
    <row r="300" spans="1:10" ht="12.5">
      <c r="A300" s="1" t="str">
        <f>Datensätze!A202</f>
        <v>D-1201</v>
      </c>
      <c r="B300" s="4">
        <f>Datensätze!B202</f>
        <v>45739</v>
      </c>
      <c r="C300" s="1" t="str">
        <f>Datensätze!C202</f>
        <v>Kestrel Co</v>
      </c>
      <c r="D300" s="1" t="str">
        <f>Datensätze!K202</f>
        <v>Pro Plan</v>
      </c>
      <c r="E300" s="1" t="str">
        <f>Datensätze!L202</f>
        <v>Priya Patel</v>
      </c>
      <c r="F300" s="1" t="str">
        <f>Datensätze!F202</f>
        <v>Maya Rodriguez</v>
      </c>
      <c r="G300" s="1" t="str">
        <f>Datensätze!M202</f>
        <v>LATAM</v>
      </c>
      <c r="H300" s="1">
        <f>Datensätze!H202</f>
        <v>1</v>
      </c>
      <c r="I300" s="15">
        <f>Datensätze!N202</f>
        <v>224.95</v>
      </c>
      <c r="J300" s="9">
        <f>Datensätze!O202</f>
        <v>224.95</v>
      </c>
    </row>
    <row r="301" spans="1:10" ht="12.5">
      <c r="A301" s="1" t="str">
        <f>Datensätze!A203</f>
        <v>D-1202</v>
      </c>
      <c r="B301" s="4">
        <f>Datensätze!B203</f>
        <v>45659</v>
      </c>
      <c r="C301" s="1" t="str">
        <f>Datensätze!C203</f>
        <v>Nimbus Co</v>
      </c>
      <c r="D301" s="1" t="str">
        <f>Datensätze!K203</f>
        <v>Business Plan</v>
      </c>
      <c r="E301" s="1" t="str">
        <f>Datensätze!L203</f>
        <v>James Park</v>
      </c>
      <c r="F301" s="1" t="str">
        <f>Datensätze!F203</f>
        <v>Owen Walsh</v>
      </c>
      <c r="G301" s="1" t="str">
        <f>Datensätze!M203</f>
        <v>North America</v>
      </c>
      <c r="H301" s="1">
        <f>Datensätze!H203</f>
        <v>5</v>
      </c>
      <c r="I301" s="15">
        <f>Datensätze!N203</f>
        <v>369.19</v>
      </c>
      <c r="J301" s="9">
        <f>Datensätze!O203</f>
        <v>1845.95</v>
      </c>
    </row>
    <row r="302" spans="1:10" ht="12.5">
      <c r="A302" s="1" t="str">
        <f>Datensätze!A204</f>
        <v>D-1203</v>
      </c>
      <c r="B302" s="4">
        <f>Datensätze!B204</f>
        <v>45706</v>
      </c>
      <c r="C302" s="1" t="str">
        <f>Datensätze!C204</f>
        <v>Pacific Co</v>
      </c>
      <c r="D302" s="1" t="str">
        <f>Datensätze!K204</f>
        <v>Business Plan</v>
      </c>
      <c r="E302" s="1" t="str">
        <f>Datensätze!L204</f>
        <v>Marcus Johnson</v>
      </c>
      <c r="F302" s="1" t="str">
        <f>Datensätze!F204</f>
        <v>Sarah Chen</v>
      </c>
      <c r="G302" s="1" t="str">
        <f>Datensätze!M204</f>
        <v>EMEA</v>
      </c>
      <c r="H302" s="1">
        <f>Datensätze!H204</f>
        <v>1</v>
      </c>
      <c r="I302" s="15">
        <f>Datensätze!N204</f>
        <v>415.25</v>
      </c>
      <c r="J302" s="9">
        <f>Datensätze!O204</f>
        <v>415.25</v>
      </c>
    </row>
    <row r="303" spans="1:10" ht="12.5">
      <c r="A303" s="1" t="str">
        <f>Datensätze!A205</f>
        <v>D-1204</v>
      </c>
      <c r="B303" s="4">
        <f>Datensätze!B205</f>
        <v>45736</v>
      </c>
      <c r="C303" s="1" t="str">
        <f>Datensätze!C205</f>
        <v>Vertex Inc</v>
      </c>
      <c r="D303" s="1" t="str">
        <f>Datensätze!K205</f>
        <v>Add-on: Analytics</v>
      </c>
      <c r="E303" s="1" t="str">
        <f>Datensätze!L205</f>
        <v>Tom Wilson</v>
      </c>
      <c r="F303" s="1" t="str">
        <f>Datensätze!F205</f>
        <v>Lukas Becker</v>
      </c>
      <c r="G303" s="1" t="str">
        <f>Datensätze!M205</f>
        <v>APAC</v>
      </c>
      <c r="H303" s="1">
        <f>Datensätze!H205</f>
        <v>1</v>
      </c>
      <c r="I303" s="15">
        <f>Datensätze!N205</f>
        <v>102.63</v>
      </c>
      <c r="J303" s="9">
        <f>Datensätze!O205</f>
        <v>102.63</v>
      </c>
    </row>
    <row r="304" spans="1:10" ht="12.5">
      <c r="A304" s="1" t="str">
        <f>Datensätze!A206</f>
        <v>D-1205</v>
      </c>
      <c r="B304" s="4">
        <f>Datensätze!B206</f>
        <v>45699</v>
      </c>
      <c r="C304" s="1" t="str">
        <f>Datensätze!C206</f>
        <v>Orbit Co</v>
      </c>
      <c r="D304" s="1" t="str">
        <f>Datensätze!K206</f>
        <v>Business Plan</v>
      </c>
      <c r="E304" s="1" t="str">
        <f>Datensätze!L206</f>
        <v>James Park</v>
      </c>
      <c r="F304" s="1" t="str">
        <f>Datensätze!F206</f>
        <v>Owen Walsh</v>
      </c>
      <c r="G304" s="1" t="str">
        <f>Datensätze!M206</f>
        <v>EMEA</v>
      </c>
      <c r="H304" s="1">
        <f>Datensätze!H206</f>
        <v>2</v>
      </c>
      <c r="I304" s="15">
        <f>Datensätze!N206</f>
        <v>410.14</v>
      </c>
      <c r="J304" s="9">
        <f>Datensätze!O206</f>
        <v>820.28</v>
      </c>
    </row>
    <row r="305" spans="1:10" ht="12.5">
      <c r="A305" s="1" t="str">
        <f>Datensätze!A207</f>
        <v>D-1206</v>
      </c>
      <c r="B305" s="4">
        <f>Datensätze!B207</f>
        <v>45664</v>
      </c>
      <c r="C305" s="1" t="str">
        <f>Datensätze!C207</f>
        <v>Stellar Co</v>
      </c>
      <c r="D305" s="1" t="str">
        <f>Datensätze!K207</f>
        <v>Add-on: Analytics</v>
      </c>
      <c r="E305" s="1" t="str">
        <f>Datensätze!L207</f>
        <v>Elena Rossi</v>
      </c>
      <c r="F305" s="1" t="str">
        <f>Datensätze!F207</f>
        <v>Lukas Becker</v>
      </c>
      <c r="G305" s="1" t="str">
        <f>Datensätze!M207</f>
        <v>APAC</v>
      </c>
      <c r="H305" s="1">
        <f>Datensätze!H207</f>
        <v>5</v>
      </c>
      <c r="I305" s="15">
        <f>Datensätze!N207</f>
        <v>74.69</v>
      </c>
      <c r="J305" s="9">
        <f>Datensätze!O207</f>
        <v>373.45</v>
      </c>
    </row>
    <row r="306" spans="1:10" ht="12.5">
      <c r="A306" s="1" t="str">
        <f>Datensätze!A208</f>
        <v>D-1207</v>
      </c>
      <c r="B306" s="4">
        <f>Datensätze!B208</f>
        <v>45696</v>
      </c>
      <c r="C306" s="1" t="str">
        <f>Datensätze!C208</f>
        <v>Summit Group</v>
      </c>
      <c r="D306" s="1" t="str">
        <f>Datensätze!K208</f>
        <v>Pro Plan</v>
      </c>
      <c r="E306" s="1" t="str">
        <f>Datensätze!L208</f>
        <v>David Kim</v>
      </c>
      <c r="F306" s="1" t="str">
        <f>Datensätze!F208</f>
        <v>Sarah Chen</v>
      </c>
      <c r="G306" s="1" t="str">
        <f>Datensätze!M208</f>
        <v>North America</v>
      </c>
      <c r="H306" s="1">
        <f>Datensätze!H208</f>
        <v>20</v>
      </c>
      <c r="I306" s="15">
        <f>Datensätze!N208</f>
        <v>228.23</v>
      </c>
      <c r="J306" s="9">
        <f>Datensätze!O208</f>
        <v>4564.5999999999995</v>
      </c>
    </row>
    <row r="307" spans="1:10" ht="12.5">
      <c r="A307" s="1" t="str">
        <f>Datensätze!A209</f>
        <v>D-1208</v>
      </c>
      <c r="B307" s="4">
        <f>Datensätze!B209</f>
        <v>45704</v>
      </c>
      <c r="C307" s="1" t="str">
        <f>Datensätze!C209</f>
        <v>Iris Co</v>
      </c>
      <c r="D307" s="1" t="str">
        <f>Datensätze!K209</f>
        <v>Add-on: Analytics</v>
      </c>
      <c r="E307" s="1" t="str">
        <f>Datensätze!L209</f>
        <v>Sophie Laurent</v>
      </c>
      <c r="F307" s="1" t="str">
        <f>Datensätze!F209</f>
        <v>Maya Rodriguez</v>
      </c>
      <c r="G307" s="1" t="str">
        <f>Datensätze!M209</f>
        <v>North America</v>
      </c>
      <c r="H307" s="1">
        <f>Datensätze!H209</f>
        <v>1</v>
      </c>
      <c r="I307" s="15">
        <f>Datensätze!N209</f>
        <v>104.56</v>
      </c>
      <c r="J307" s="9">
        <f>Datensätze!O209</f>
        <v>104.56</v>
      </c>
    </row>
    <row r="308" spans="1:10" ht="12.5">
      <c r="A308" s="1" t="str">
        <f>Datensätze!A210</f>
        <v>D-1209</v>
      </c>
      <c r="B308" s="4">
        <f>Datensätze!B210</f>
        <v>45667</v>
      </c>
      <c r="C308" s="1" t="str">
        <f>Datensätze!C210</f>
        <v>Lattice Co</v>
      </c>
      <c r="D308" s="1" t="str">
        <f>Datensätze!K210</f>
        <v>Pro Plan</v>
      </c>
      <c r="E308" s="1" t="str">
        <f>Datensätze!L210</f>
        <v>Elena Rossi</v>
      </c>
      <c r="F308" s="1" t="str">
        <f>Datensätze!F210</f>
        <v>Lukas Becker</v>
      </c>
      <c r="G308" s="1" t="str">
        <f>Datensätze!M210</f>
        <v>North America</v>
      </c>
      <c r="H308" s="1">
        <f>Datensätze!H210</f>
        <v>1</v>
      </c>
      <c r="I308" s="15">
        <f>Datensätze!N210</f>
        <v>276.18</v>
      </c>
      <c r="J308" s="9">
        <f>Datensätze!O210</f>
        <v>276.18</v>
      </c>
    </row>
    <row r="309" spans="1:10" ht="12.5">
      <c r="A309" s="1" t="str">
        <f>Datensätze!A211</f>
        <v>D-1210</v>
      </c>
      <c r="B309" s="4">
        <f>Datensätze!B211</f>
        <v>45692</v>
      </c>
      <c r="C309" s="1" t="str">
        <f>Datensätze!C211</f>
        <v>Borealis Co</v>
      </c>
      <c r="D309" s="1" t="str">
        <f>Datensätze!K211</f>
        <v>Business Plan</v>
      </c>
      <c r="E309" s="1" t="str">
        <f>Datensätze!L211</f>
        <v>Aisha Hassan</v>
      </c>
      <c r="F309" s="1" t="str">
        <f>Datensätze!F211</f>
        <v>Sarah Chen</v>
      </c>
      <c r="G309" s="1" t="str">
        <f>Datensätze!M211</f>
        <v>LATAM</v>
      </c>
      <c r="H309" s="1">
        <f>Datensätze!H211</f>
        <v>5</v>
      </c>
      <c r="I309" s="15">
        <f>Datensätze!N211</f>
        <v>431.34</v>
      </c>
      <c r="J309" s="9">
        <f>Datensätze!O211</f>
        <v>2156.6999999999998</v>
      </c>
    </row>
    <row r="310" spans="1:10" ht="12.5">
      <c r="A310" s="1" t="str">
        <f>Datensätze!A212</f>
        <v>D-1211</v>
      </c>
      <c r="B310" s="4">
        <f>Datensätze!B212</f>
        <v>45663</v>
      </c>
      <c r="C310" s="1" t="str">
        <f>Datensätze!C212</f>
        <v>Apex Group</v>
      </c>
      <c r="D310" s="1" t="str">
        <f>Datensätze!K212</f>
        <v>Add-on: Analytics</v>
      </c>
      <c r="E310" s="1" t="str">
        <f>Datensätze!L212</f>
        <v>James Park</v>
      </c>
      <c r="F310" s="1" t="str">
        <f>Datensätze!F212</f>
        <v>Owen Walsh</v>
      </c>
      <c r="G310" s="1" t="str">
        <f>Datensätze!M212</f>
        <v>LATAM</v>
      </c>
      <c r="H310" s="1">
        <f>Datensätze!H212</f>
        <v>5</v>
      </c>
      <c r="I310" s="15">
        <f>Datensätze!N212</f>
        <v>69.69</v>
      </c>
      <c r="J310" s="9">
        <f>Datensätze!O212</f>
        <v>348.45</v>
      </c>
    </row>
    <row r="311" spans="1:10" ht="12.5">
      <c r="A311" s="1" t="str">
        <f>Datensätze!A213</f>
        <v>D-1212</v>
      </c>
      <c r="B311" s="4">
        <f>Datensätze!B213</f>
        <v>45739</v>
      </c>
      <c r="C311" s="1" t="str">
        <f>Datensätze!C213</f>
        <v>Harbor Inc</v>
      </c>
      <c r="D311" s="1" t="str">
        <f>Datensätze!K213</f>
        <v>Pro Plan</v>
      </c>
      <c r="E311" s="1" t="str">
        <f>Datensätze!L213</f>
        <v>Marcus Johnson</v>
      </c>
      <c r="F311" s="1" t="str">
        <f>Datensätze!F213</f>
        <v>Sarah Chen</v>
      </c>
      <c r="G311" s="1" t="str">
        <f>Datensätze!M213</f>
        <v>EMEA</v>
      </c>
      <c r="H311" s="1">
        <f>Datensätze!H213</f>
        <v>2</v>
      </c>
      <c r="I311" s="15">
        <f>Datensätze!N213</f>
        <v>283.25</v>
      </c>
      <c r="J311" s="9">
        <f>Datensätze!O213</f>
        <v>566.5</v>
      </c>
    </row>
    <row r="312" spans="1:10" ht="12.5">
      <c r="A312" s="1" t="str">
        <f>Datensätze!A214</f>
        <v>D-1213</v>
      </c>
      <c r="B312" s="4">
        <f>Datensätze!B214</f>
        <v>45697</v>
      </c>
      <c r="C312" s="1" t="str">
        <f>Datensätze!C214</f>
        <v>Phoenix Co</v>
      </c>
      <c r="D312" s="1" t="str">
        <f>Datensätze!K214</f>
        <v>Business Plan</v>
      </c>
      <c r="E312" s="1" t="str">
        <f>Datensätze!L214</f>
        <v>Tom Wilson</v>
      </c>
      <c r="F312" s="1" t="str">
        <f>Datensätze!F214</f>
        <v>Lukas Becker</v>
      </c>
      <c r="G312" s="1" t="str">
        <f>Datensätze!M214</f>
        <v>LATAM</v>
      </c>
      <c r="H312" s="1">
        <f>Datensätze!H214</f>
        <v>1</v>
      </c>
      <c r="I312" s="15">
        <f>Datensätze!N214</f>
        <v>440.61</v>
      </c>
      <c r="J312" s="9">
        <f>Datensätze!O214</f>
        <v>440.61</v>
      </c>
    </row>
    <row r="313" spans="1:10" ht="12.5">
      <c r="A313" s="1" t="str">
        <f>Datensätze!A215</f>
        <v>D-1214</v>
      </c>
      <c r="B313" s="4">
        <f>Datensätze!B215</f>
        <v>45708</v>
      </c>
      <c r="C313" s="1" t="str">
        <f>Datensätze!C215</f>
        <v>Pacific Co</v>
      </c>
      <c r="D313" s="1" t="str">
        <f>Datensätze!K215</f>
        <v>Add-on: Analytics</v>
      </c>
      <c r="E313" s="1" t="str">
        <f>Datensätze!L215</f>
        <v>Hannah Lee</v>
      </c>
      <c r="F313" s="1" t="str">
        <f>Datensätze!F215</f>
        <v>Owen Walsh</v>
      </c>
      <c r="G313" s="1" t="str">
        <f>Datensätze!M215</f>
        <v>LATAM</v>
      </c>
      <c r="H313" s="1">
        <f>Datensätze!H215</f>
        <v>50</v>
      </c>
      <c r="I313" s="15">
        <f>Datensätze!N215</f>
        <v>62.85</v>
      </c>
      <c r="J313" s="9">
        <f>Datensätze!O215</f>
        <v>3142.5</v>
      </c>
    </row>
    <row r="314" spans="1:10" ht="12.5">
      <c r="A314" s="1" t="str">
        <f>Datensätze!A216</f>
        <v>D-1215</v>
      </c>
      <c r="B314" s="4">
        <f>Datensätze!B216</f>
        <v>45667</v>
      </c>
      <c r="C314" s="1" t="str">
        <f>Datensätze!C216</f>
        <v>Helix Systems</v>
      </c>
      <c r="D314" s="1" t="str">
        <f>Datensätze!K216</f>
        <v>Starter Plan</v>
      </c>
      <c r="E314" s="1" t="str">
        <f>Datensätze!L216</f>
        <v>David Kim</v>
      </c>
      <c r="F314" s="1" t="str">
        <f>Datensätze!F216</f>
        <v>Sarah Chen</v>
      </c>
      <c r="G314" s="1" t="str">
        <f>Datensätze!M216</f>
        <v>EMEA</v>
      </c>
      <c r="H314" s="1">
        <f>Datensätze!H216</f>
        <v>20</v>
      </c>
      <c r="I314" s="15">
        <f>Datensätze!N216</f>
        <v>63.25</v>
      </c>
      <c r="J314" s="9">
        <f>Datensätze!O216</f>
        <v>1265</v>
      </c>
    </row>
    <row r="315" spans="1:10" ht="12.5">
      <c r="A315" s="1" t="str">
        <f>Datensätze!A217</f>
        <v>D-1216</v>
      </c>
      <c r="B315" s="4">
        <f>Datensätze!B217</f>
        <v>45680</v>
      </c>
      <c r="C315" s="1" t="str">
        <f>Datensätze!C217</f>
        <v>Catalyst Inc</v>
      </c>
      <c r="D315" s="1" t="str">
        <f>Datensätze!K217</f>
        <v>Pro Plan</v>
      </c>
      <c r="E315" s="1" t="str">
        <f>Datensätze!L217</f>
        <v>Priya Patel</v>
      </c>
      <c r="F315" s="1" t="str">
        <f>Datensätze!F217</f>
        <v>Maya Rodriguez</v>
      </c>
      <c r="G315" s="1" t="str">
        <f>Datensätze!M217</f>
        <v>APAC</v>
      </c>
      <c r="H315" s="1">
        <f>Datensätze!H217</f>
        <v>1</v>
      </c>
      <c r="I315" s="15">
        <f>Datensätze!N217</f>
        <v>256.91000000000003</v>
      </c>
      <c r="J315" s="9">
        <f>Datensätze!O217</f>
        <v>256.91000000000003</v>
      </c>
    </row>
    <row r="316" spans="1:10" ht="12.5">
      <c r="A316" s="1" t="str">
        <f>Datensätze!A218</f>
        <v>D-1217</v>
      </c>
      <c r="B316" s="4">
        <f>Datensätze!B218</f>
        <v>45715</v>
      </c>
      <c r="C316" s="1" t="str">
        <f>Datensätze!C218</f>
        <v>Pacific Co</v>
      </c>
      <c r="D316" s="1" t="str">
        <f>Datensätze!K218</f>
        <v>Pro Plan</v>
      </c>
      <c r="E316" s="1" t="str">
        <f>Datensätze!L218</f>
        <v>Aisha Hassan</v>
      </c>
      <c r="F316" s="1" t="str">
        <f>Datensätze!F218</f>
        <v>Sarah Chen</v>
      </c>
      <c r="G316" s="1" t="str">
        <f>Datensätze!M218</f>
        <v>North America</v>
      </c>
      <c r="H316" s="1">
        <f>Datensätze!H218</f>
        <v>1</v>
      </c>
      <c r="I316" s="15">
        <f>Datensätze!N218</f>
        <v>293.39</v>
      </c>
      <c r="J316" s="9">
        <f>Datensätze!O218</f>
        <v>293.39</v>
      </c>
    </row>
    <row r="317" spans="1:10" ht="12.5">
      <c r="A317" s="1" t="str">
        <f>Datensätze!A219</f>
        <v>D-1218</v>
      </c>
      <c r="B317" s="4">
        <f>Datensätze!B219</f>
        <v>45732</v>
      </c>
      <c r="C317" s="1" t="str">
        <f>Datensätze!C219</f>
        <v>Nimbus Co</v>
      </c>
      <c r="D317" s="1" t="str">
        <f>Datensätze!K219</f>
        <v>Starter Plan</v>
      </c>
      <c r="E317" s="1" t="str">
        <f>Datensätze!L219</f>
        <v>David Kim</v>
      </c>
      <c r="F317" s="1" t="str">
        <f>Datensätze!F219</f>
        <v>Sarah Chen</v>
      </c>
      <c r="G317" s="1" t="str">
        <f>Datensätze!M219</f>
        <v>APAC</v>
      </c>
      <c r="H317" s="1">
        <f>Datensätze!H219</f>
        <v>10</v>
      </c>
      <c r="I317" s="15">
        <f>Datensätze!N219</f>
        <v>49.92</v>
      </c>
      <c r="J317" s="9">
        <f>Datensätze!O219</f>
        <v>499.20000000000005</v>
      </c>
    </row>
    <row r="318" spans="1:10" ht="12.5">
      <c r="A318" s="1" t="str">
        <f>Datensätze!A220</f>
        <v>D-1219</v>
      </c>
      <c r="B318" s="4">
        <f>Datensätze!B220</f>
        <v>45668</v>
      </c>
      <c r="C318" s="1" t="str">
        <f>Datensätze!C220</f>
        <v>Northwind Co</v>
      </c>
      <c r="D318" s="1" t="str">
        <f>Datensätze!K220</f>
        <v>Add-on: Analytics</v>
      </c>
      <c r="E318" s="1" t="str">
        <f>Datensätze!L220</f>
        <v>David Kim</v>
      </c>
      <c r="F318" s="1" t="str">
        <f>Datensätze!F220</f>
        <v>Sarah Chen</v>
      </c>
      <c r="G318" s="1" t="str">
        <f>Datensätze!M220</f>
        <v>EMEA</v>
      </c>
      <c r="H318" s="1">
        <f>Datensätze!H220</f>
        <v>1</v>
      </c>
      <c r="I318" s="15">
        <f>Datensätze!N220</f>
        <v>63.23</v>
      </c>
      <c r="J318" s="9">
        <f>Datensätze!O220</f>
        <v>63.23</v>
      </c>
    </row>
    <row r="319" spans="1:10" ht="12.5">
      <c r="A319" s="1" t="str">
        <f>Datensätze!A221</f>
        <v>D-1220</v>
      </c>
      <c r="B319" s="4">
        <f>Datensätze!B221</f>
        <v>45669</v>
      </c>
      <c r="C319" s="1" t="str">
        <f>Datensätze!C221</f>
        <v>Echo Labs</v>
      </c>
      <c r="D319" s="1" t="str">
        <f>Datensätze!K221</f>
        <v>Add-on: Analytics</v>
      </c>
      <c r="E319" s="1" t="str">
        <f>Datensätze!L221</f>
        <v>Marcus Johnson</v>
      </c>
      <c r="F319" s="1" t="str">
        <f>Datensätze!F221</f>
        <v>Sarah Chen</v>
      </c>
      <c r="G319" s="1" t="str">
        <f>Datensätze!M221</f>
        <v>North America</v>
      </c>
      <c r="H319" s="1">
        <f>Datensätze!H221</f>
        <v>1</v>
      </c>
      <c r="I319" s="15">
        <f>Datensätze!N221</f>
        <v>92.43</v>
      </c>
      <c r="J319" s="9">
        <f>Datensätze!O221</f>
        <v>92.43</v>
      </c>
    </row>
    <row r="320" spans="1:10" ht="12.5">
      <c r="A320" s="1" t="str">
        <f>Datensätze!A222</f>
        <v>D-1221</v>
      </c>
      <c r="B320" s="4">
        <f>Datensätze!B222</f>
        <v>45683</v>
      </c>
      <c r="C320" s="1" t="str">
        <f>Datensätze!C222</f>
        <v>Quill Labs</v>
      </c>
      <c r="D320" s="1" t="str">
        <f>Datensätze!K222</f>
        <v>Pro Plan</v>
      </c>
      <c r="E320" s="1" t="str">
        <f>Datensätze!L222</f>
        <v>Raj Sharma</v>
      </c>
      <c r="F320" s="1" t="str">
        <f>Datensätze!F222</f>
        <v>Owen Walsh</v>
      </c>
      <c r="G320" s="1" t="str">
        <f>Datensätze!M222</f>
        <v>EMEA</v>
      </c>
      <c r="H320" s="1">
        <f>Datensätze!H222</f>
        <v>2</v>
      </c>
      <c r="I320" s="15">
        <f>Datensätze!N222</f>
        <v>188.38</v>
      </c>
      <c r="J320" s="9">
        <f>Datensätze!O222</f>
        <v>376.76</v>
      </c>
    </row>
    <row r="321" spans="1:10" ht="12.5">
      <c r="A321" s="1" t="str">
        <f>Datensätze!A223</f>
        <v>D-1222</v>
      </c>
      <c r="B321" s="4">
        <f>Datensätze!B223</f>
        <v>45735</v>
      </c>
      <c r="C321" s="1" t="str">
        <f>Datensätze!C223</f>
        <v>Solstice Group</v>
      </c>
      <c r="D321" s="1" t="str">
        <f>Datensätze!K223</f>
        <v>Pro Plan</v>
      </c>
      <c r="E321" s="1" t="str">
        <f>Datensätze!L223</f>
        <v>Carlos Mendez</v>
      </c>
      <c r="F321" s="1" t="str">
        <f>Datensätze!F223</f>
        <v>Maya Rodriguez</v>
      </c>
      <c r="G321" s="1" t="str">
        <f>Datensätze!M223</f>
        <v>APAC</v>
      </c>
      <c r="H321" s="1">
        <f>Datensätze!H223</f>
        <v>1</v>
      </c>
      <c r="I321" s="15">
        <f>Datensätze!N223</f>
        <v>277.92</v>
      </c>
      <c r="J321" s="9">
        <f>Datensätze!O223</f>
        <v>277.92</v>
      </c>
    </row>
    <row r="322" spans="1:10" ht="12.5">
      <c r="A322" s="1" t="str">
        <f>Datensätze!A224</f>
        <v>D-1223</v>
      </c>
      <c r="B322" s="4">
        <f>Datensätze!B224</f>
        <v>45729</v>
      </c>
      <c r="C322" s="1" t="str">
        <f>Datensätze!C224</f>
        <v>Obsidian Co</v>
      </c>
      <c r="D322" s="1" t="str">
        <f>Datensätze!K224</f>
        <v>Business Plan</v>
      </c>
      <c r="E322" s="1" t="str">
        <f>Datensätze!L224</f>
        <v>Nina Petrov</v>
      </c>
      <c r="F322" s="1" t="str">
        <f>Datensätze!F224</f>
        <v>Lukas Becker</v>
      </c>
      <c r="G322" s="1" t="str">
        <f>Datensätze!M224</f>
        <v>EMEA</v>
      </c>
      <c r="H322" s="1">
        <f>Datensätze!H224</f>
        <v>1</v>
      </c>
      <c r="I322" s="15">
        <f>Datensätze!N224</f>
        <v>382.36</v>
      </c>
      <c r="J322" s="9">
        <f>Datensätze!O224</f>
        <v>382.36</v>
      </c>
    </row>
    <row r="323" spans="1:10" ht="12.5">
      <c r="A323" s="1" t="str">
        <f>Datensätze!A225</f>
        <v>D-1224</v>
      </c>
      <c r="B323" s="4">
        <f>Datensätze!B225</f>
        <v>45683</v>
      </c>
      <c r="C323" s="1" t="str">
        <f>Datensätze!C225</f>
        <v>Verdant Inc</v>
      </c>
      <c r="D323" s="1" t="str">
        <f>Datensätze!K225</f>
        <v>Pro Plan</v>
      </c>
      <c r="E323" s="1" t="str">
        <f>Datensätze!L225</f>
        <v>Carlos Mendez</v>
      </c>
      <c r="F323" s="1" t="str">
        <f>Datensätze!F225</f>
        <v>Maya Rodriguez</v>
      </c>
      <c r="G323" s="1" t="str">
        <f>Datensätze!M225</f>
        <v>APAC</v>
      </c>
      <c r="H323" s="1">
        <f>Datensätze!H225</f>
        <v>1</v>
      </c>
      <c r="I323" s="15">
        <f>Datensätze!N225</f>
        <v>195.73</v>
      </c>
      <c r="J323" s="9">
        <f>Datensätze!O225</f>
        <v>195.73</v>
      </c>
    </row>
    <row r="324" spans="1:10" ht="12.5">
      <c r="A324" s="1" t="str">
        <f>Datensätze!A226</f>
        <v>D-1225</v>
      </c>
      <c r="B324" s="4">
        <f>Datensätze!B226</f>
        <v>45744</v>
      </c>
      <c r="C324" s="1" t="str">
        <f>Datensätze!C226</f>
        <v>Kestrel Co</v>
      </c>
      <c r="D324" s="1" t="str">
        <f>Datensätze!K226</f>
        <v>Starter Plan</v>
      </c>
      <c r="E324" s="1" t="str">
        <f>Datensätze!L226</f>
        <v>David Kim</v>
      </c>
      <c r="F324" s="1" t="str">
        <f>Datensätze!F226</f>
        <v>Sarah Chen</v>
      </c>
      <c r="G324" s="1" t="str">
        <f>Datensätze!M226</f>
        <v>EMEA</v>
      </c>
      <c r="H324" s="1">
        <f>Datensätze!H226</f>
        <v>1</v>
      </c>
      <c r="I324" s="15">
        <f>Datensätze!N226</f>
        <v>78.239999999999995</v>
      </c>
      <c r="J324" s="9">
        <f>Datensätze!O226</f>
        <v>78.239999999999995</v>
      </c>
    </row>
    <row r="325" spans="1:10" ht="12.5">
      <c r="A325" s="1" t="str">
        <f>Datensätze!A227</f>
        <v>D-1226</v>
      </c>
      <c r="B325" s="4">
        <f>Datensätze!B227</f>
        <v>45717</v>
      </c>
      <c r="C325" s="1" t="str">
        <f>Datensätze!C227</f>
        <v>Apex Group</v>
      </c>
      <c r="D325" s="1" t="str">
        <f>Datensätze!K227</f>
        <v>Business Plan</v>
      </c>
      <c r="E325" s="1" t="str">
        <f>Datensätze!L227</f>
        <v>Nina Petrov</v>
      </c>
      <c r="F325" s="1" t="str">
        <f>Datensätze!F227</f>
        <v>Lukas Becker</v>
      </c>
      <c r="G325" s="1" t="str">
        <f>Datensätze!M227</f>
        <v>EMEA</v>
      </c>
      <c r="H325" s="1">
        <f>Datensätze!H227</f>
        <v>2</v>
      </c>
      <c r="I325" s="15">
        <f>Datensätze!N227</f>
        <v>408.62</v>
      </c>
      <c r="J325" s="9">
        <f>Datensätze!O227</f>
        <v>817.24</v>
      </c>
    </row>
    <row r="326" spans="1:10" ht="12.5">
      <c r="A326" s="1" t="str">
        <f>Datensätze!A228</f>
        <v>D-1227</v>
      </c>
      <c r="B326" s="4">
        <f>Datensätze!B228</f>
        <v>45745</v>
      </c>
      <c r="C326" s="1" t="str">
        <f>Datensätze!C228</f>
        <v>Cascade Group</v>
      </c>
      <c r="D326" s="1" t="str">
        <f>Datensätze!K228</f>
        <v>Starter Plan</v>
      </c>
      <c r="E326" s="1" t="str">
        <f>Datensätze!L228</f>
        <v>Nina Petrov</v>
      </c>
      <c r="F326" s="1" t="str">
        <f>Datensätze!F228</f>
        <v>Lukas Becker</v>
      </c>
      <c r="G326" s="1" t="str">
        <f>Datensätze!M228</f>
        <v>LATAM</v>
      </c>
      <c r="H326" s="1">
        <f>Datensätze!H228</f>
        <v>2</v>
      </c>
      <c r="I326" s="15">
        <f>Datensätze!N228</f>
        <v>63.35</v>
      </c>
      <c r="J326" s="9">
        <f>Datensätze!O228</f>
        <v>126.7</v>
      </c>
    </row>
    <row r="327" spans="1:10" ht="12.5">
      <c r="A327" s="1" t="str">
        <f>Datensätze!A229</f>
        <v>D-1228</v>
      </c>
      <c r="B327" s="4">
        <f>Datensätze!B229</f>
        <v>45733</v>
      </c>
      <c r="C327" s="1" t="str">
        <f>Datensätze!C229</f>
        <v>Quanta Labs</v>
      </c>
      <c r="D327" s="1" t="str">
        <f>Datensätze!K229</f>
        <v>Starter Plan</v>
      </c>
      <c r="E327" s="1" t="str">
        <f>Datensätze!L229</f>
        <v>Raj Sharma</v>
      </c>
      <c r="F327" s="1" t="str">
        <f>Datensätze!F229</f>
        <v>Owen Walsh</v>
      </c>
      <c r="G327" s="1" t="str">
        <f>Datensätze!M229</f>
        <v>EMEA</v>
      </c>
      <c r="H327" s="1">
        <f>Datensätze!H229</f>
        <v>1</v>
      </c>
      <c r="I327" s="15">
        <f>Datensätze!N229</f>
        <v>60.9</v>
      </c>
      <c r="J327" s="9">
        <f>Datensätze!O229</f>
        <v>60.9</v>
      </c>
    </row>
    <row r="328" spans="1:10" ht="12.5">
      <c r="A328" s="1" t="str">
        <f>Datensätze!A230</f>
        <v>D-1229</v>
      </c>
      <c r="B328" s="4">
        <f>Datensätze!B230</f>
        <v>45670</v>
      </c>
      <c r="C328" s="1" t="str">
        <f>Datensätze!C230</f>
        <v>Arcadia Inc</v>
      </c>
      <c r="D328" s="1" t="str">
        <f>Datensätze!K230</f>
        <v>Business Plan</v>
      </c>
      <c r="E328" s="1" t="str">
        <f>Datensätze!L230</f>
        <v>David Kim</v>
      </c>
      <c r="F328" s="1" t="str">
        <f>Datensätze!F230</f>
        <v>Sarah Chen</v>
      </c>
      <c r="G328" s="1" t="str">
        <f>Datensätze!M230</f>
        <v>EMEA</v>
      </c>
      <c r="H328" s="1">
        <f>Datensätze!H230</f>
        <v>2</v>
      </c>
      <c r="I328" s="15">
        <f>Datensätze!N230</f>
        <v>409.02</v>
      </c>
      <c r="J328" s="9">
        <f>Datensätze!O230</f>
        <v>818.04</v>
      </c>
    </row>
    <row r="329" spans="1:10" ht="12.5">
      <c r="A329" s="1" t="str">
        <f>Datensätze!A231</f>
        <v>D-1230</v>
      </c>
      <c r="B329" s="4">
        <f>Datensätze!B231</f>
        <v>45658</v>
      </c>
      <c r="C329" s="1" t="str">
        <f>Datensätze!C231</f>
        <v>Fusion Group</v>
      </c>
      <c r="D329" s="1" t="str">
        <f>Datensätze!K231</f>
        <v>Pro Plan</v>
      </c>
      <c r="E329" s="1" t="str">
        <f>Datensätze!L231</f>
        <v>Marcus Johnson</v>
      </c>
      <c r="F329" s="1" t="str">
        <f>Datensätze!F231</f>
        <v>Sarah Chen</v>
      </c>
      <c r="G329" s="1" t="str">
        <f>Datensätze!M231</f>
        <v>LATAM</v>
      </c>
      <c r="H329" s="1">
        <f>Datensätze!H231</f>
        <v>2</v>
      </c>
      <c r="I329" s="15">
        <f>Datensätze!N231</f>
        <v>248.58</v>
      </c>
      <c r="J329" s="9">
        <f>Datensätze!O231</f>
        <v>497.16</v>
      </c>
    </row>
    <row r="330" spans="1:10" ht="12.5">
      <c r="A330" s="1" t="str">
        <f>Datensätze!A232</f>
        <v>D-1231</v>
      </c>
      <c r="B330" s="4">
        <f>Datensätze!B232</f>
        <v>45661</v>
      </c>
      <c r="C330" s="1" t="str">
        <f>Datensätze!C232</f>
        <v>Borealis Co</v>
      </c>
      <c r="D330" s="1" t="str">
        <f>Datensätze!K232</f>
        <v>Enterprise Plan</v>
      </c>
      <c r="E330" s="1" t="str">
        <f>Datensätze!L232</f>
        <v>Marcus Johnson</v>
      </c>
      <c r="F330" s="1" t="str">
        <f>Datensätze!F232</f>
        <v>Sarah Chen</v>
      </c>
      <c r="G330" s="1" t="str">
        <f>Datensätze!M232</f>
        <v>EMEA</v>
      </c>
      <c r="H330" s="1">
        <f>Datensätze!H232</f>
        <v>1</v>
      </c>
      <c r="I330" s="15">
        <f>Datensätze!N232</f>
        <v>992.76</v>
      </c>
      <c r="J330" s="9">
        <f>Datensätze!O232</f>
        <v>992.76</v>
      </c>
    </row>
    <row r="331" spans="1:10" ht="12.5">
      <c r="A331" s="1" t="str">
        <f>Datensätze!A233</f>
        <v>D-1232</v>
      </c>
      <c r="B331" s="4">
        <f>Datensätze!B233</f>
        <v>45695</v>
      </c>
      <c r="C331" s="1" t="str">
        <f>Datensätze!C233</f>
        <v>Vertex Inc</v>
      </c>
      <c r="D331" s="1" t="str">
        <f>Datensätze!K233</f>
        <v>Starter Plan</v>
      </c>
      <c r="E331" s="1" t="str">
        <f>Datensätze!L233</f>
        <v>Priya Patel</v>
      </c>
      <c r="F331" s="1" t="str">
        <f>Datensätze!F233</f>
        <v>Maya Rodriguez</v>
      </c>
      <c r="G331" s="1" t="str">
        <f>Datensätze!M233</f>
        <v>APAC</v>
      </c>
      <c r="H331" s="1">
        <f>Datensätze!H233</f>
        <v>1</v>
      </c>
      <c r="I331" s="15">
        <f>Datensätze!N233</f>
        <v>54.56</v>
      </c>
      <c r="J331" s="9">
        <f>Datensätze!O233</f>
        <v>54.56</v>
      </c>
    </row>
    <row r="332" spans="1:10" ht="12.5">
      <c r="A332" s="1" t="str">
        <f>Datensätze!A234</f>
        <v>D-1233</v>
      </c>
      <c r="B332" s="4">
        <f>Datensätze!B234</f>
        <v>45731</v>
      </c>
      <c r="C332" s="1" t="str">
        <f>Datensätze!C234</f>
        <v>Driftwood Co</v>
      </c>
      <c r="D332" s="1" t="str">
        <f>Datensätze!K234</f>
        <v>Pro Plan</v>
      </c>
      <c r="E332" s="1" t="str">
        <f>Datensätze!L234</f>
        <v>Priya Patel</v>
      </c>
      <c r="F332" s="1" t="str">
        <f>Datensätze!F234</f>
        <v>Maya Rodriguez</v>
      </c>
      <c r="G332" s="1" t="str">
        <f>Datensätze!M234</f>
        <v>EMEA</v>
      </c>
      <c r="H332" s="1">
        <f>Datensätze!H234</f>
        <v>1</v>
      </c>
      <c r="I332" s="15">
        <f>Datensätze!N234</f>
        <v>229.82</v>
      </c>
      <c r="J332" s="9">
        <f>Datensätze!O234</f>
        <v>229.82</v>
      </c>
    </row>
    <row r="333" spans="1:10" ht="12.5">
      <c r="A333" s="1" t="str">
        <f>Datensätze!A235</f>
        <v>D-1234</v>
      </c>
      <c r="B333" s="4">
        <f>Datensätze!B235</f>
        <v>45671</v>
      </c>
      <c r="C333" s="1" t="str">
        <f>Datensätze!C235</f>
        <v>Pacific Co</v>
      </c>
      <c r="D333" s="1" t="str">
        <f>Datensätze!K235</f>
        <v>Pro Plan</v>
      </c>
      <c r="E333" s="1" t="str">
        <f>Datensätze!L235</f>
        <v>Priya Patel</v>
      </c>
      <c r="F333" s="1" t="str">
        <f>Datensätze!F235</f>
        <v>Maya Rodriguez</v>
      </c>
      <c r="G333" s="1" t="str">
        <f>Datensätze!M235</f>
        <v>North America</v>
      </c>
      <c r="H333" s="1">
        <f>Datensätze!H235</f>
        <v>2</v>
      </c>
      <c r="I333" s="15">
        <f>Datensätze!N235</f>
        <v>233.74</v>
      </c>
      <c r="J333" s="9">
        <f>Datensätze!O235</f>
        <v>467.48</v>
      </c>
    </row>
    <row r="334" spans="1:10" ht="12.5">
      <c r="A334" s="1" t="str">
        <f>Datensätze!A236</f>
        <v>D-1235</v>
      </c>
      <c r="B334" s="4">
        <f>Datensätze!B236</f>
        <v>45681</v>
      </c>
      <c r="C334" s="1" t="str">
        <f>Datensätze!C236</f>
        <v>Granite Co</v>
      </c>
      <c r="D334" s="1" t="str">
        <f>Datensätze!K236</f>
        <v>Starter Plan</v>
      </c>
      <c r="E334" s="1" t="str">
        <f>Datensätze!L236</f>
        <v>Raj Sharma</v>
      </c>
      <c r="F334" s="1" t="str">
        <f>Datensätze!F236</f>
        <v>Owen Walsh</v>
      </c>
      <c r="G334" s="1" t="str">
        <f>Datensätze!M236</f>
        <v>APAC</v>
      </c>
      <c r="H334" s="1">
        <f>Datensätze!H236</f>
        <v>2</v>
      </c>
      <c r="I334" s="15">
        <f>Datensätze!N236</f>
        <v>42.63</v>
      </c>
      <c r="J334" s="9">
        <f>Datensätze!O236</f>
        <v>85.26</v>
      </c>
    </row>
    <row r="335" spans="1:10" ht="12.5">
      <c r="A335" s="1" t="str">
        <f>Datensätze!A237</f>
        <v>D-1236</v>
      </c>
      <c r="B335" s="4">
        <f>Datensätze!B237</f>
        <v>45713</v>
      </c>
      <c r="C335" s="1" t="str">
        <f>Datensätze!C237</f>
        <v>Harbor Inc</v>
      </c>
      <c r="D335" s="1" t="str">
        <f>Datensätze!K237</f>
        <v>Pro Plan</v>
      </c>
      <c r="E335" s="1" t="str">
        <f>Datensätze!L237</f>
        <v>Carlos Mendez</v>
      </c>
      <c r="F335" s="1" t="str">
        <f>Datensätze!F237</f>
        <v>Maya Rodriguez</v>
      </c>
      <c r="G335" s="1" t="str">
        <f>Datensätze!M237</f>
        <v>LATAM</v>
      </c>
      <c r="H335" s="1">
        <f>Datensätze!H237</f>
        <v>5</v>
      </c>
      <c r="I335" s="15">
        <f>Datensätze!N237</f>
        <v>289.32</v>
      </c>
      <c r="J335" s="9">
        <f>Datensätze!O237</f>
        <v>1446.6</v>
      </c>
    </row>
    <row r="336" spans="1:10" ht="12.5">
      <c r="A336" s="1" t="str">
        <f>Datensätze!A238</f>
        <v>D-1237</v>
      </c>
      <c r="B336" s="4">
        <f>Datensätze!B238</f>
        <v>45721</v>
      </c>
      <c r="C336" s="1" t="str">
        <f>Datensätze!C238</f>
        <v>Apex Group</v>
      </c>
      <c r="D336" s="1" t="str">
        <f>Datensätze!K238</f>
        <v>Starter Plan</v>
      </c>
      <c r="E336" s="1" t="str">
        <f>Datensätze!L238</f>
        <v>Aisha Hassan</v>
      </c>
      <c r="F336" s="1" t="str">
        <f>Datensätze!F238</f>
        <v>Sarah Chen</v>
      </c>
      <c r="G336" s="1" t="str">
        <f>Datensätze!M238</f>
        <v>LATAM</v>
      </c>
      <c r="H336" s="1">
        <f>Datensätze!H238</f>
        <v>2</v>
      </c>
      <c r="I336" s="15">
        <f>Datensätze!N238</f>
        <v>79.56</v>
      </c>
      <c r="J336" s="9">
        <f>Datensätze!O238</f>
        <v>159.12</v>
      </c>
    </row>
    <row r="337" spans="1:10" ht="12.5">
      <c r="A337" s="1" t="str">
        <f>Datensätze!A239</f>
        <v>D-1238</v>
      </c>
      <c r="B337" s="4">
        <f>Datensätze!B239</f>
        <v>45734</v>
      </c>
      <c r="C337" s="1" t="str">
        <f>Datensätze!C239</f>
        <v>Harbor Inc</v>
      </c>
      <c r="D337" s="1" t="str">
        <f>Datensätze!K239</f>
        <v>Starter Plan</v>
      </c>
      <c r="E337" s="1" t="str">
        <f>Datensätze!L239</f>
        <v>Raj Sharma</v>
      </c>
      <c r="F337" s="1" t="str">
        <f>Datensätze!F239</f>
        <v>Owen Walsh</v>
      </c>
      <c r="G337" s="1" t="str">
        <f>Datensätze!M239</f>
        <v>APAC</v>
      </c>
      <c r="H337" s="1">
        <f>Datensätze!H239</f>
        <v>2</v>
      </c>
      <c r="I337" s="15">
        <f>Datensätze!N239</f>
        <v>44.69</v>
      </c>
      <c r="J337" s="9">
        <f>Datensätze!O239</f>
        <v>89.38</v>
      </c>
    </row>
    <row r="338" spans="1:10" ht="12.5">
      <c r="A338" s="1" t="str">
        <f>Datensätze!A240</f>
        <v>D-1239</v>
      </c>
      <c r="B338" s="4">
        <f>Datensätze!B240</f>
        <v>45706</v>
      </c>
      <c r="C338" s="1" t="str">
        <f>Datensätze!C240</f>
        <v>Vertex Inc</v>
      </c>
      <c r="D338" s="1" t="str">
        <f>Datensätze!K240</f>
        <v>Starter Plan</v>
      </c>
      <c r="E338" s="1" t="str">
        <f>Datensätze!L240</f>
        <v>James Park</v>
      </c>
      <c r="F338" s="1" t="str">
        <f>Datensätze!F240</f>
        <v>Owen Walsh</v>
      </c>
      <c r="G338" s="1" t="str">
        <f>Datensätze!M240</f>
        <v>APAC</v>
      </c>
      <c r="H338" s="1">
        <f>Datensätze!H240</f>
        <v>2</v>
      </c>
      <c r="I338" s="15">
        <f>Datensätze!N240</f>
        <v>42.09</v>
      </c>
      <c r="J338" s="9">
        <f>Datensätze!O240</f>
        <v>84.18</v>
      </c>
    </row>
    <row r="339" spans="1:10" ht="12.5">
      <c r="A339" s="1" t="str">
        <f>Datensätze!A241</f>
        <v>D-1240</v>
      </c>
      <c r="B339" s="4">
        <f>Datensätze!B241</f>
        <v>45714</v>
      </c>
      <c r="C339" s="1" t="str">
        <f>Datensätze!C241</f>
        <v>Driftwood Co</v>
      </c>
      <c r="D339" s="1" t="str">
        <f>Datensätze!K241</f>
        <v>Pro Plan</v>
      </c>
      <c r="E339" s="1" t="str">
        <f>Datensätze!L241</f>
        <v>Raj Sharma</v>
      </c>
      <c r="F339" s="1" t="str">
        <f>Datensätze!F241</f>
        <v>Owen Walsh</v>
      </c>
      <c r="G339" s="1" t="str">
        <f>Datensätze!M241</f>
        <v>APAC</v>
      </c>
      <c r="H339" s="1">
        <f>Datensätze!H241</f>
        <v>1</v>
      </c>
      <c r="I339" s="15">
        <f>Datensätze!N241</f>
        <v>244.89</v>
      </c>
      <c r="J339" s="9">
        <f>Datensätze!O241</f>
        <v>244.89</v>
      </c>
    </row>
    <row r="340" spans="1:10" ht="12.5">
      <c r="A340" s="1" t="str">
        <f>Datensätze!A242</f>
        <v>D-1241</v>
      </c>
      <c r="B340" s="4">
        <f>Datensätze!B242</f>
        <v>45719</v>
      </c>
      <c r="C340" s="1" t="str">
        <f>Datensätze!C242</f>
        <v>Fusion Group</v>
      </c>
      <c r="D340" s="1" t="str">
        <f>Datensätze!K242</f>
        <v>Pro Plan</v>
      </c>
      <c r="E340" s="1" t="str">
        <f>Datensätze!L242</f>
        <v>Hannah Lee</v>
      </c>
      <c r="F340" s="1" t="str">
        <f>Datensätze!F242</f>
        <v>Owen Walsh</v>
      </c>
      <c r="G340" s="1" t="str">
        <f>Datensätze!M242</f>
        <v>North America</v>
      </c>
      <c r="H340" s="1">
        <f>Datensätze!H242</f>
        <v>10</v>
      </c>
      <c r="I340" s="15">
        <f>Datensätze!N242</f>
        <v>250.52</v>
      </c>
      <c r="J340" s="9">
        <f>Datensätze!O242</f>
        <v>2505.2000000000003</v>
      </c>
    </row>
    <row r="341" spans="1:10" ht="12.5">
      <c r="A341" s="1" t="str">
        <f>Datensätze!A243</f>
        <v>D-1242</v>
      </c>
      <c r="B341" s="4">
        <f>Datensätze!B243</f>
        <v>45709</v>
      </c>
      <c r="C341" s="1" t="str">
        <f>Datensätze!C243</f>
        <v>Vertex Inc</v>
      </c>
      <c r="D341" s="1" t="str">
        <f>Datensätze!K243</f>
        <v>Starter Plan</v>
      </c>
      <c r="E341" s="1" t="str">
        <f>Datensätze!L243</f>
        <v>Marcus Johnson</v>
      </c>
      <c r="F341" s="1" t="str">
        <f>Datensätze!F243</f>
        <v>Sarah Chen</v>
      </c>
      <c r="G341" s="1" t="str">
        <f>Datensätze!M243</f>
        <v>APAC</v>
      </c>
      <c r="H341" s="1">
        <f>Datensätze!H243</f>
        <v>1</v>
      </c>
      <c r="I341" s="15">
        <f>Datensätze!N243</f>
        <v>46.99</v>
      </c>
      <c r="J341" s="9">
        <f>Datensätze!O243</f>
        <v>46.99</v>
      </c>
    </row>
    <row r="342" spans="1:10" ht="12.5">
      <c r="A342" s="1" t="str">
        <f>Datensätze!A244</f>
        <v>D-1243</v>
      </c>
      <c r="B342" s="4">
        <f>Datensätze!B244</f>
        <v>45693</v>
      </c>
      <c r="C342" s="1" t="str">
        <f>Datensätze!C244</f>
        <v>Nimbus Co</v>
      </c>
      <c r="D342" s="1" t="str">
        <f>Datensätze!K244</f>
        <v>Pro Plan</v>
      </c>
      <c r="E342" s="1" t="str">
        <f>Datensätze!L244</f>
        <v>Nina Petrov</v>
      </c>
      <c r="F342" s="1" t="str">
        <f>Datensätze!F244</f>
        <v>Lukas Becker</v>
      </c>
      <c r="G342" s="1" t="str">
        <f>Datensätze!M244</f>
        <v>North America</v>
      </c>
      <c r="H342" s="1">
        <f>Datensätze!H244</f>
        <v>5</v>
      </c>
      <c r="I342" s="15">
        <f>Datensätze!N244</f>
        <v>249.29</v>
      </c>
      <c r="J342" s="9">
        <f>Datensätze!O244</f>
        <v>1246.45</v>
      </c>
    </row>
    <row r="343" spans="1:10" ht="12.5">
      <c r="A343" s="1" t="str">
        <f>Datensätze!A245</f>
        <v>D-1244</v>
      </c>
      <c r="B343" s="4">
        <f>Datensätze!B245</f>
        <v>45675</v>
      </c>
      <c r="C343" s="1" t="str">
        <f>Datensätze!C245</f>
        <v>Cascade Group</v>
      </c>
      <c r="D343" s="1" t="str">
        <f>Datensätze!K245</f>
        <v>Pro Plan</v>
      </c>
      <c r="E343" s="1" t="str">
        <f>Datensätze!L245</f>
        <v>James Park</v>
      </c>
      <c r="F343" s="1" t="str">
        <f>Datensätze!F245</f>
        <v>Owen Walsh</v>
      </c>
      <c r="G343" s="1" t="str">
        <f>Datensätze!M245</f>
        <v>North America</v>
      </c>
      <c r="H343" s="1">
        <f>Datensätze!H245</f>
        <v>1</v>
      </c>
      <c r="I343" s="15">
        <f>Datensätze!N245</f>
        <v>295.33999999999997</v>
      </c>
      <c r="J343" s="9">
        <f>Datensätze!O245</f>
        <v>295.33999999999997</v>
      </c>
    </row>
    <row r="344" spans="1:10" ht="12.5">
      <c r="A344" s="1" t="str">
        <f>Datensätze!A246</f>
        <v>D-1245</v>
      </c>
      <c r="B344" s="4">
        <f>Datensätze!B246</f>
        <v>45670</v>
      </c>
      <c r="C344" s="1" t="str">
        <f>Datensätze!C246</f>
        <v>Quill Labs</v>
      </c>
      <c r="D344" s="1" t="str">
        <f>Datensätze!K246</f>
        <v>Pro Plan</v>
      </c>
      <c r="E344" s="1" t="str">
        <f>Datensätze!L246</f>
        <v>Priya Patel</v>
      </c>
      <c r="F344" s="1" t="str">
        <f>Datensätze!F246</f>
        <v>Maya Rodriguez</v>
      </c>
      <c r="G344" s="1" t="str">
        <f>Datensätze!M246</f>
        <v>North America</v>
      </c>
      <c r="H344" s="1">
        <f>Datensätze!H246</f>
        <v>5</v>
      </c>
      <c r="I344" s="15">
        <f>Datensätze!N246</f>
        <v>177.21</v>
      </c>
      <c r="J344" s="9">
        <f>Datensätze!O246</f>
        <v>886.05000000000007</v>
      </c>
    </row>
    <row r="345" spans="1:10" ht="12.5">
      <c r="A345" s="1" t="str">
        <f>Datensätze!A247</f>
        <v>D-1246</v>
      </c>
      <c r="B345" s="4">
        <f>Datensätze!B247</f>
        <v>45716</v>
      </c>
      <c r="C345" s="1" t="str">
        <f>Datensätze!C247</f>
        <v>Atlas Group</v>
      </c>
      <c r="D345" s="1" t="str">
        <f>Datensätze!K247</f>
        <v>Business Plan</v>
      </c>
      <c r="E345" s="1" t="str">
        <f>Datensätze!L247</f>
        <v>Marcus Johnson</v>
      </c>
      <c r="F345" s="1" t="str">
        <f>Datensätze!F247</f>
        <v>Sarah Chen</v>
      </c>
      <c r="G345" s="1" t="str">
        <f>Datensätze!M247</f>
        <v>North America</v>
      </c>
      <c r="H345" s="1">
        <f>Datensätze!H247</f>
        <v>5</v>
      </c>
      <c r="I345" s="15">
        <f>Datensätze!N247</f>
        <v>481.6</v>
      </c>
      <c r="J345" s="9">
        <f>Datensätze!O247</f>
        <v>2408</v>
      </c>
    </row>
    <row r="346" spans="1:10" ht="12.5">
      <c r="A346" s="1" t="str">
        <f>Datensätze!A248</f>
        <v>D-1247</v>
      </c>
      <c r="B346" s="4">
        <f>Datensätze!B248</f>
        <v>45696</v>
      </c>
      <c r="C346" s="1" t="str">
        <f>Datensätze!C248</f>
        <v>Borealis Co</v>
      </c>
      <c r="D346" s="1" t="str">
        <f>Datensätze!K248</f>
        <v>Add-on: Support</v>
      </c>
      <c r="E346" s="1" t="str">
        <f>Datensätze!L248</f>
        <v>Priya Patel</v>
      </c>
      <c r="F346" s="1" t="str">
        <f>Datensätze!F248</f>
        <v>Maya Rodriguez</v>
      </c>
      <c r="G346" s="1" t="str">
        <f>Datensätze!M248</f>
        <v>EMEA</v>
      </c>
      <c r="H346" s="1">
        <f>Datensätze!H248</f>
        <v>20</v>
      </c>
      <c r="I346" s="15">
        <f>Datensätze!N248</f>
        <v>81.900000000000006</v>
      </c>
      <c r="J346" s="9">
        <f>Datensätze!O248</f>
        <v>1638</v>
      </c>
    </row>
    <row r="347" spans="1:10" ht="12.5">
      <c r="A347" s="1" t="str">
        <f>Datensätze!A249</f>
        <v>D-1248</v>
      </c>
      <c r="B347" s="4">
        <f>Datensätze!B249</f>
        <v>45728</v>
      </c>
      <c r="C347" s="1" t="str">
        <f>Datensätze!C249</f>
        <v>Quanta Labs</v>
      </c>
      <c r="D347" s="1" t="str">
        <f>Datensätze!K249</f>
        <v>Enterprise Plan</v>
      </c>
      <c r="E347" s="1" t="str">
        <f>Datensätze!L249</f>
        <v>David Kim</v>
      </c>
      <c r="F347" s="1" t="str">
        <f>Datensätze!F249</f>
        <v>Sarah Chen</v>
      </c>
      <c r="G347" s="1" t="str">
        <f>Datensätze!M249</f>
        <v>LATAM</v>
      </c>
      <c r="H347" s="1">
        <f>Datensätze!H249</f>
        <v>20</v>
      </c>
      <c r="I347" s="15">
        <f>Datensätze!N249</f>
        <v>1203.23</v>
      </c>
      <c r="J347" s="9">
        <f>Datensätze!O249</f>
        <v>24064.6</v>
      </c>
    </row>
    <row r="348" spans="1:10" ht="12.5">
      <c r="A348" s="1" t="str">
        <f>Datensätze!A250</f>
        <v>D-1249</v>
      </c>
      <c r="B348" s="4">
        <f>Datensätze!B250</f>
        <v>45659</v>
      </c>
      <c r="C348" s="1" t="str">
        <f>Datensätze!C250</f>
        <v>Summit Group</v>
      </c>
      <c r="D348" s="1" t="str">
        <f>Datensätze!K250</f>
        <v>Enterprise Plan</v>
      </c>
      <c r="E348" s="1" t="str">
        <f>Datensätze!L250</f>
        <v>Elena Rossi</v>
      </c>
      <c r="F348" s="1" t="str">
        <f>Datensätze!F250</f>
        <v>Lukas Becker</v>
      </c>
      <c r="G348" s="1" t="str">
        <f>Datensätze!M250</f>
        <v>North America</v>
      </c>
      <c r="H348" s="1">
        <f>Datensätze!H250</f>
        <v>1</v>
      </c>
      <c r="I348" s="15">
        <f>Datensätze!N250</f>
        <v>1198.5899999999999</v>
      </c>
      <c r="J348" s="9">
        <f>Datensätze!O250</f>
        <v>1198.5899999999999</v>
      </c>
    </row>
    <row r="349" spans="1:10" ht="12.5">
      <c r="A349" s="1" t="str">
        <f>Datensätze!A251</f>
        <v>D-1250</v>
      </c>
      <c r="B349" s="4">
        <f>Datensätze!B251</f>
        <v>45667</v>
      </c>
      <c r="C349" s="1" t="str">
        <f>Datensätze!C251</f>
        <v>Kestrel Co</v>
      </c>
      <c r="D349" s="1" t="str">
        <f>Datensätze!K251</f>
        <v>Starter Plan</v>
      </c>
      <c r="E349" s="1" t="str">
        <f>Datensätze!L251</f>
        <v>James Park</v>
      </c>
      <c r="F349" s="1" t="str">
        <f>Datensätze!F251</f>
        <v>Owen Walsh</v>
      </c>
      <c r="G349" s="1" t="str">
        <f>Datensätze!M251</f>
        <v>North America</v>
      </c>
      <c r="H349" s="1">
        <f>Datensätze!H251</f>
        <v>1</v>
      </c>
      <c r="I349" s="15">
        <f>Datensätze!N251</f>
        <v>70.61</v>
      </c>
      <c r="J349" s="9">
        <f>Datensätze!O251</f>
        <v>70.61</v>
      </c>
    </row>
    <row r="350" spans="1:10" ht="12.5">
      <c r="A350" s="1">
        <f>Datensätze!A252</f>
        <v>0</v>
      </c>
      <c r="E350" s="1"/>
    </row>
    <row r="351" spans="1:10" ht="12.5">
      <c r="A351" s="1">
        <f>Datensätze!A253</f>
        <v>0</v>
      </c>
      <c r="E351" s="1"/>
    </row>
    <row r="352" spans="1:10" ht="12.5">
      <c r="A352" s="1">
        <f>Datensätze!A254</f>
        <v>0</v>
      </c>
      <c r="E352" s="1"/>
    </row>
    <row r="353" spans="1:5" ht="12.5">
      <c r="A353" s="1">
        <f>Datensätze!A255</f>
        <v>0</v>
      </c>
      <c r="E353" s="1"/>
    </row>
    <row r="354" spans="1:5" ht="12.5">
      <c r="A354" s="1">
        <f>Datensätze!A256</f>
        <v>0</v>
      </c>
      <c r="E354" s="1"/>
    </row>
    <row r="355" spans="1:5" ht="12.5">
      <c r="A355" s="1">
        <f>Datensätze!A257</f>
        <v>0</v>
      </c>
      <c r="E355" s="1"/>
    </row>
    <row r="356" spans="1:5" ht="12.5">
      <c r="A356" s="1">
        <f>Datensätze!A258</f>
        <v>0</v>
      </c>
      <c r="E356" s="1"/>
    </row>
    <row r="357" spans="1:5" ht="12.5">
      <c r="A357" s="1">
        <f>Datensätze!A259</f>
        <v>0</v>
      </c>
      <c r="E357" s="1"/>
    </row>
    <row r="358" spans="1:5" ht="12.5">
      <c r="A358" s="1">
        <f>Datensätze!A260</f>
        <v>0</v>
      </c>
      <c r="E358" s="1"/>
    </row>
    <row r="359" spans="1:5" ht="12.5">
      <c r="A359" s="1">
        <f>Datensätze!A261</f>
        <v>0</v>
      </c>
      <c r="E359" s="1"/>
    </row>
    <row r="360" spans="1:5" ht="12.5">
      <c r="A360" s="1">
        <f>Datensätze!A262</f>
        <v>0</v>
      </c>
      <c r="E360" s="1"/>
    </row>
    <row r="361" spans="1:5" ht="12.5">
      <c r="A361" s="1">
        <f>Datensätze!A263</f>
        <v>0</v>
      </c>
      <c r="E361" s="1"/>
    </row>
    <row r="362" spans="1:5" ht="12.5">
      <c r="A362" s="1">
        <f>Datensätze!A264</f>
        <v>0</v>
      </c>
      <c r="E362" s="1"/>
    </row>
    <row r="363" spans="1:5" ht="12.5">
      <c r="A363" s="1">
        <f>Datensätze!A265</f>
        <v>0</v>
      </c>
      <c r="E363" s="1"/>
    </row>
    <row r="364" spans="1:5" ht="12.5">
      <c r="E364" s="1"/>
    </row>
    <row r="365" spans="1:5" ht="12.5">
      <c r="E365" s="1"/>
    </row>
    <row r="366" spans="1:5" ht="12.5">
      <c r="E366" s="1"/>
    </row>
    <row r="367" spans="1:5" ht="12.5">
      <c r="E367" s="1"/>
    </row>
    <row r="368" spans="1:5" ht="12.5">
      <c r="E368" s="1"/>
    </row>
    <row r="369" spans="5:5" ht="12.5">
      <c r="E369" s="1"/>
    </row>
    <row r="370" spans="5:5" ht="12.5">
      <c r="E370" s="1"/>
    </row>
    <row r="371" spans="5:5" ht="12.5">
      <c r="E371" s="1"/>
    </row>
    <row r="372" spans="5:5" ht="12.5">
      <c r="E372" s="1"/>
    </row>
    <row r="373" spans="5:5" ht="12.5">
      <c r="E373" s="1"/>
    </row>
    <row r="374" spans="5:5" ht="12.5">
      <c r="E374" s="1"/>
    </row>
    <row r="375" spans="5:5" ht="12.5">
      <c r="E375" s="1"/>
    </row>
    <row r="376" spans="5:5" ht="12.5">
      <c r="E376" s="1"/>
    </row>
    <row r="377" spans="5:5" ht="12.5">
      <c r="E377" s="1"/>
    </row>
    <row r="378" spans="5:5" ht="12.5">
      <c r="E378" s="1"/>
    </row>
    <row r="379" spans="5:5" ht="12.5">
      <c r="E379" s="1"/>
    </row>
    <row r="380" spans="5:5" ht="12.5">
      <c r="E380" s="1"/>
    </row>
    <row r="381" spans="5:5" ht="12.5">
      <c r="E381" s="1"/>
    </row>
    <row r="382" spans="5:5" ht="12.5">
      <c r="E382" s="1"/>
    </row>
    <row r="383" spans="5:5" ht="12.5">
      <c r="E383" s="1"/>
    </row>
    <row r="384" spans="5:5" ht="12.5">
      <c r="E384" s="1"/>
    </row>
    <row r="385" spans="5:5" ht="12.5">
      <c r="E385" s="1"/>
    </row>
    <row r="386" spans="5:5" ht="12.5">
      <c r="E386" s="1"/>
    </row>
    <row r="387" spans="5:5" ht="12.5">
      <c r="E387" s="1"/>
    </row>
    <row r="388" spans="5:5" ht="12.5">
      <c r="E388" s="1"/>
    </row>
    <row r="389" spans="5:5" ht="12.5">
      <c r="E389" s="1"/>
    </row>
    <row r="390" spans="5:5" ht="12.5">
      <c r="E390" s="1"/>
    </row>
    <row r="391" spans="5:5" ht="12.5">
      <c r="E391" s="1"/>
    </row>
    <row r="392" spans="5:5" ht="12.5">
      <c r="E392" s="1"/>
    </row>
    <row r="393" spans="5:5" ht="12.5">
      <c r="E393" s="1"/>
    </row>
    <row r="394" spans="5:5" ht="12.5">
      <c r="E394" s="1"/>
    </row>
    <row r="395" spans="5:5" ht="12.5">
      <c r="E395" s="1"/>
    </row>
    <row r="396" spans="5:5" ht="12.5">
      <c r="E396" s="1"/>
    </row>
    <row r="397" spans="5:5" ht="12.5">
      <c r="E397" s="1"/>
    </row>
    <row r="398" spans="5:5" ht="12.5">
      <c r="E398" s="1"/>
    </row>
    <row r="399" spans="5:5" ht="12.5">
      <c r="E399" s="1"/>
    </row>
    <row r="400" spans="5:5" ht="12.5">
      <c r="E400" s="1"/>
    </row>
    <row r="401" spans="5:5" ht="12.5">
      <c r="E401" s="1"/>
    </row>
    <row r="402" spans="5:5" ht="12.5">
      <c r="E402" s="1"/>
    </row>
    <row r="403" spans="5:5" ht="12.5">
      <c r="E403" s="1"/>
    </row>
    <row r="404" spans="5:5" ht="12.5">
      <c r="E404" s="1"/>
    </row>
    <row r="405" spans="5:5" ht="12.5">
      <c r="E405" s="1"/>
    </row>
    <row r="406" spans="5:5" ht="12.5">
      <c r="E406" s="1"/>
    </row>
    <row r="407" spans="5:5" ht="12.5">
      <c r="E407" s="1"/>
    </row>
    <row r="408" spans="5:5" ht="12.5">
      <c r="E408" s="1"/>
    </row>
    <row r="409" spans="5:5" ht="12.5">
      <c r="E409" s="1"/>
    </row>
    <row r="410" spans="5:5" ht="12.5">
      <c r="E410" s="1"/>
    </row>
    <row r="411" spans="5:5" ht="12.5">
      <c r="E411" s="1"/>
    </row>
    <row r="412" spans="5:5" ht="12.5">
      <c r="E412" s="1"/>
    </row>
    <row r="413" spans="5:5" ht="12.5">
      <c r="E413" s="1"/>
    </row>
    <row r="414" spans="5:5" ht="12.5">
      <c r="E414" s="1"/>
    </row>
    <row r="415" spans="5:5" ht="12.5">
      <c r="E415" s="1"/>
    </row>
    <row r="416" spans="5:5" ht="12.5">
      <c r="E416" s="1"/>
    </row>
    <row r="417" spans="5:5" ht="12.5">
      <c r="E417" s="1"/>
    </row>
    <row r="418" spans="5:5" ht="12.5">
      <c r="E418" s="1"/>
    </row>
    <row r="419" spans="5:5" ht="12.5">
      <c r="E419" s="1"/>
    </row>
    <row r="420" spans="5:5" ht="12.5">
      <c r="E420" s="1"/>
    </row>
    <row r="421" spans="5:5" ht="12.5">
      <c r="E421" s="1"/>
    </row>
    <row r="422" spans="5:5" ht="12.5">
      <c r="E422" s="1"/>
    </row>
    <row r="423" spans="5:5" ht="12.5">
      <c r="E423" s="1"/>
    </row>
    <row r="424" spans="5:5" ht="12.5">
      <c r="E424" s="1"/>
    </row>
    <row r="425" spans="5:5" ht="12.5">
      <c r="E425" s="1"/>
    </row>
    <row r="426" spans="5:5" ht="12.5">
      <c r="E426" s="1"/>
    </row>
    <row r="427" spans="5:5" ht="12.5">
      <c r="E427" s="1"/>
    </row>
    <row r="428" spans="5:5" ht="12.5">
      <c r="E428" s="1"/>
    </row>
    <row r="429" spans="5:5" ht="12.5">
      <c r="E429" s="1"/>
    </row>
    <row r="430" spans="5:5" ht="12.5">
      <c r="E430" s="1"/>
    </row>
    <row r="431" spans="5:5" ht="12.5">
      <c r="E431" s="1"/>
    </row>
    <row r="432" spans="5:5" ht="12.5">
      <c r="E432" s="1"/>
    </row>
    <row r="433" spans="5:5" ht="12.5">
      <c r="E433" s="1"/>
    </row>
    <row r="434" spans="5:5" ht="12.5">
      <c r="E434" s="1"/>
    </row>
    <row r="435" spans="5:5" ht="12.5">
      <c r="E435" s="1"/>
    </row>
    <row r="436" spans="5:5" ht="12.5">
      <c r="E436" s="1"/>
    </row>
    <row r="437" spans="5:5" ht="12.5">
      <c r="E437" s="1"/>
    </row>
    <row r="438" spans="5:5" ht="12.5">
      <c r="E438" s="1"/>
    </row>
    <row r="439" spans="5:5" ht="12.5">
      <c r="E439" s="1"/>
    </row>
    <row r="440" spans="5:5" ht="12.5">
      <c r="E440" s="1"/>
    </row>
    <row r="441" spans="5:5" ht="12.5">
      <c r="E441" s="1"/>
    </row>
    <row r="442" spans="5:5" ht="12.5">
      <c r="E442" s="1"/>
    </row>
    <row r="443" spans="5:5" ht="12.5">
      <c r="E443" s="1"/>
    </row>
    <row r="444" spans="5:5" ht="12.5">
      <c r="E444" s="1"/>
    </row>
    <row r="445" spans="5:5" ht="12.5">
      <c r="E445" s="1"/>
    </row>
    <row r="446" spans="5:5" ht="12.5">
      <c r="E446" s="1"/>
    </row>
    <row r="447" spans="5:5" ht="12.5">
      <c r="E447" s="1"/>
    </row>
    <row r="448" spans="5:5" ht="12.5">
      <c r="E448" s="1"/>
    </row>
    <row r="449" spans="5:5" ht="12.5">
      <c r="E449" s="1"/>
    </row>
    <row r="450" spans="5:5" ht="12.5">
      <c r="E450" s="1"/>
    </row>
    <row r="451" spans="5:5" ht="12.5">
      <c r="E451" s="1"/>
    </row>
    <row r="452" spans="5:5" ht="12.5">
      <c r="E452" s="1"/>
    </row>
    <row r="453" spans="5:5" ht="12.5">
      <c r="E453" s="1"/>
    </row>
    <row r="454" spans="5:5" ht="12.5">
      <c r="E454" s="1"/>
    </row>
    <row r="455" spans="5:5" ht="12.5">
      <c r="E455" s="1"/>
    </row>
    <row r="456" spans="5:5" ht="12.5">
      <c r="E456" s="1"/>
    </row>
    <row r="457" spans="5:5" ht="12.5">
      <c r="E457" s="1"/>
    </row>
    <row r="458" spans="5:5" ht="12.5">
      <c r="E458" s="1"/>
    </row>
    <row r="459" spans="5:5" ht="12.5">
      <c r="E459" s="1"/>
    </row>
    <row r="460" spans="5:5" ht="12.5">
      <c r="E460" s="1"/>
    </row>
    <row r="461" spans="5:5" ht="12.5">
      <c r="E461" s="1"/>
    </row>
    <row r="462" spans="5:5" ht="12.5">
      <c r="E462" s="1"/>
    </row>
    <row r="463" spans="5:5" ht="12.5">
      <c r="E463" s="1"/>
    </row>
    <row r="464" spans="5:5" ht="12.5">
      <c r="E464" s="1"/>
    </row>
    <row r="465" spans="5:5" ht="12.5">
      <c r="E465" s="1"/>
    </row>
    <row r="466" spans="5:5" ht="12.5">
      <c r="E466" s="1"/>
    </row>
    <row r="467" spans="5:5" ht="12.5">
      <c r="E467" s="1"/>
    </row>
    <row r="468" spans="5:5" ht="12.5">
      <c r="E468" s="1"/>
    </row>
    <row r="469" spans="5:5" ht="12.5">
      <c r="E469" s="1"/>
    </row>
    <row r="470" spans="5:5" ht="12.5">
      <c r="E470" s="1"/>
    </row>
    <row r="471" spans="5:5" ht="12.5">
      <c r="E471" s="1"/>
    </row>
    <row r="472" spans="5:5" ht="12.5">
      <c r="E472" s="1"/>
    </row>
    <row r="473" spans="5:5" ht="12.5">
      <c r="E473" s="1"/>
    </row>
    <row r="474" spans="5:5" ht="12.5">
      <c r="E474" s="1"/>
    </row>
    <row r="475" spans="5:5" ht="12.5">
      <c r="E475" s="1"/>
    </row>
    <row r="476" spans="5:5" ht="12.5">
      <c r="E476" s="1"/>
    </row>
    <row r="477" spans="5:5" ht="12.5">
      <c r="E477" s="1"/>
    </row>
    <row r="478" spans="5:5" ht="12.5">
      <c r="E478" s="1"/>
    </row>
    <row r="479" spans="5:5" ht="12.5">
      <c r="E479" s="1"/>
    </row>
    <row r="480" spans="5:5" ht="12.5">
      <c r="E480" s="1"/>
    </row>
    <row r="481" spans="5:5" ht="12.5">
      <c r="E481" s="1"/>
    </row>
    <row r="482" spans="5:5" ht="12.5">
      <c r="E482" s="1"/>
    </row>
    <row r="483" spans="5:5" ht="12.5">
      <c r="E483" s="1"/>
    </row>
    <row r="484" spans="5:5" ht="12.5">
      <c r="E484" s="1"/>
    </row>
    <row r="485" spans="5:5" ht="12.5">
      <c r="E485" s="1"/>
    </row>
    <row r="486" spans="5:5" ht="12.5">
      <c r="E486" s="1"/>
    </row>
    <row r="487" spans="5:5" ht="12.5">
      <c r="E487" s="1"/>
    </row>
    <row r="488" spans="5:5" ht="12.5">
      <c r="E488" s="1"/>
    </row>
    <row r="489" spans="5:5" ht="12.5">
      <c r="E489" s="1"/>
    </row>
    <row r="490" spans="5:5" ht="12.5">
      <c r="E490" s="1"/>
    </row>
    <row r="491" spans="5:5" ht="12.5">
      <c r="E491" s="1"/>
    </row>
    <row r="492" spans="5:5" ht="12.5">
      <c r="E492" s="1"/>
    </row>
    <row r="493" spans="5:5" ht="12.5">
      <c r="E493" s="1"/>
    </row>
    <row r="494" spans="5:5" ht="12.5">
      <c r="E494" s="1"/>
    </row>
    <row r="495" spans="5:5" ht="12.5">
      <c r="E495" s="1"/>
    </row>
    <row r="496" spans="5:5" ht="12.5">
      <c r="E496" s="1"/>
    </row>
    <row r="497" spans="5:5" ht="12.5">
      <c r="E497" s="1"/>
    </row>
    <row r="498" spans="5:5" ht="12.5">
      <c r="E498" s="1"/>
    </row>
    <row r="499" spans="5:5" ht="12.5">
      <c r="E499" s="1"/>
    </row>
    <row r="500" spans="5:5" ht="12.5">
      <c r="E500" s="1"/>
    </row>
    <row r="501" spans="5:5" ht="12.5">
      <c r="E501" s="1"/>
    </row>
    <row r="502" spans="5:5" ht="12.5">
      <c r="E502" s="1"/>
    </row>
    <row r="503" spans="5:5" ht="12.5">
      <c r="E503" s="1"/>
    </row>
    <row r="504" spans="5:5" ht="12.5">
      <c r="E504" s="1"/>
    </row>
    <row r="505" spans="5:5" ht="12.5">
      <c r="E505" s="1"/>
    </row>
    <row r="506" spans="5:5" ht="12.5">
      <c r="E506" s="1"/>
    </row>
    <row r="507" spans="5:5" ht="12.5">
      <c r="E507" s="1"/>
    </row>
    <row r="508" spans="5:5" ht="12.5">
      <c r="E508" s="1"/>
    </row>
    <row r="509" spans="5:5" ht="12.5">
      <c r="E509" s="1"/>
    </row>
    <row r="510" spans="5:5" ht="12.5">
      <c r="E510" s="1"/>
    </row>
    <row r="511" spans="5:5" ht="12.5">
      <c r="E511" s="1"/>
    </row>
    <row r="512" spans="5:5" ht="12.5">
      <c r="E512" s="1"/>
    </row>
    <row r="513" spans="5:5" ht="12.5">
      <c r="E513" s="1"/>
    </row>
    <row r="514" spans="5:5" ht="12.5">
      <c r="E514" s="1"/>
    </row>
    <row r="515" spans="5:5" ht="12.5">
      <c r="E515" s="1"/>
    </row>
    <row r="516" spans="5:5" ht="12.5">
      <c r="E516" s="1"/>
    </row>
    <row r="517" spans="5:5" ht="12.5">
      <c r="E517" s="1"/>
    </row>
    <row r="518" spans="5:5" ht="12.5">
      <c r="E518" s="1"/>
    </row>
    <row r="519" spans="5:5" ht="12.5">
      <c r="E519" s="1"/>
    </row>
    <row r="520" spans="5:5" ht="12.5">
      <c r="E520" s="1"/>
    </row>
    <row r="521" spans="5:5" ht="12.5">
      <c r="E521" s="1"/>
    </row>
    <row r="522" spans="5:5" ht="12.5">
      <c r="E522" s="1"/>
    </row>
    <row r="523" spans="5:5" ht="12.5">
      <c r="E523" s="1"/>
    </row>
    <row r="524" spans="5:5" ht="12.5">
      <c r="E524" s="1"/>
    </row>
    <row r="525" spans="5:5" ht="12.5">
      <c r="E525" s="1"/>
    </row>
    <row r="526" spans="5:5" ht="12.5">
      <c r="E526" s="1"/>
    </row>
    <row r="527" spans="5:5" ht="12.5">
      <c r="E527" s="1"/>
    </row>
    <row r="528" spans="5:5" ht="12.5">
      <c r="E528" s="1"/>
    </row>
    <row r="529" spans="5:5" ht="12.5">
      <c r="E529" s="1"/>
    </row>
    <row r="530" spans="5:5" ht="12.5">
      <c r="E530" s="1"/>
    </row>
    <row r="531" spans="5:5" ht="12.5">
      <c r="E531" s="1"/>
    </row>
    <row r="532" spans="5:5" ht="12.5">
      <c r="E532" s="1"/>
    </row>
    <row r="533" spans="5:5" ht="12.5">
      <c r="E533" s="1"/>
    </row>
    <row r="534" spans="5:5" ht="12.5">
      <c r="E534" s="1"/>
    </row>
    <row r="535" spans="5:5" ht="12.5">
      <c r="E535" s="1"/>
    </row>
    <row r="536" spans="5:5" ht="12.5">
      <c r="E536" s="1"/>
    </row>
    <row r="537" spans="5:5" ht="12.5">
      <c r="E537" s="1"/>
    </row>
    <row r="538" spans="5:5" ht="12.5">
      <c r="E538" s="1"/>
    </row>
    <row r="539" spans="5:5" ht="12.5">
      <c r="E539" s="1"/>
    </row>
    <row r="540" spans="5:5" ht="12.5">
      <c r="E540" s="1"/>
    </row>
    <row r="541" spans="5:5" ht="12.5">
      <c r="E541" s="1"/>
    </row>
    <row r="542" spans="5:5" ht="12.5">
      <c r="E542" s="1"/>
    </row>
    <row r="543" spans="5:5" ht="12.5">
      <c r="E543" s="1"/>
    </row>
    <row r="544" spans="5:5" ht="12.5">
      <c r="E544" s="1"/>
    </row>
    <row r="545" spans="5:5" ht="12.5">
      <c r="E545" s="1"/>
    </row>
    <row r="546" spans="5:5" ht="12.5">
      <c r="E546" s="1"/>
    </row>
    <row r="547" spans="5:5" ht="12.5">
      <c r="E547" s="1"/>
    </row>
    <row r="548" spans="5:5" ht="12.5">
      <c r="E548" s="1"/>
    </row>
    <row r="549" spans="5:5" ht="12.5">
      <c r="E549" s="1"/>
    </row>
    <row r="550" spans="5:5" ht="12.5">
      <c r="E550" s="1"/>
    </row>
    <row r="551" spans="5:5" ht="12.5">
      <c r="E551" s="1"/>
    </row>
    <row r="552" spans="5:5" ht="12.5">
      <c r="E552" s="1"/>
    </row>
    <row r="553" spans="5:5" ht="12.5">
      <c r="E553" s="1"/>
    </row>
    <row r="554" spans="5:5" ht="12.5">
      <c r="E554" s="1"/>
    </row>
    <row r="555" spans="5:5" ht="12.5">
      <c r="E555" s="1"/>
    </row>
    <row r="556" spans="5:5" ht="12.5">
      <c r="E556" s="1"/>
    </row>
    <row r="557" spans="5:5" ht="12.5">
      <c r="E557" s="1"/>
    </row>
    <row r="558" spans="5:5" ht="12.5">
      <c r="E558" s="1"/>
    </row>
    <row r="559" spans="5:5" ht="12.5">
      <c r="E559" s="1"/>
    </row>
    <row r="560" spans="5:5" ht="12.5">
      <c r="E560" s="1"/>
    </row>
    <row r="561" spans="5:5" ht="12.5">
      <c r="E561" s="1"/>
    </row>
    <row r="562" spans="5:5" ht="12.5">
      <c r="E562" s="1"/>
    </row>
    <row r="563" spans="5:5" ht="12.5">
      <c r="E563" s="1"/>
    </row>
    <row r="564" spans="5:5" ht="12.5">
      <c r="E564" s="1"/>
    </row>
    <row r="565" spans="5:5" ht="12.5">
      <c r="E565" s="1"/>
    </row>
    <row r="566" spans="5:5" ht="12.5">
      <c r="E566" s="1"/>
    </row>
    <row r="567" spans="5:5" ht="12.5">
      <c r="E567" s="1"/>
    </row>
    <row r="568" spans="5:5" ht="12.5">
      <c r="E568" s="1"/>
    </row>
    <row r="569" spans="5:5" ht="12.5">
      <c r="E569" s="1"/>
    </row>
    <row r="570" spans="5:5" ht="12.5">
      <c r="E570" s="1"/>
    </row>
    <row r="571" spans="5:5" ht="12.5">
      <c r="E571" s="1"/>
    </row>
    <row r="572" spans="5:5" ht="12.5">
      <c r="E572" s="1"/>
    </row>
    <row r="573" spans="5:5" ht="12.5">
      <c r="E573" s="1"/>
    </row>
    <row r="574" spans="5:5" ht="12.5">
      <c r="E574" s="1"/>
    </row>
    <row r="575" spans="5:5" ht="12.5">
      <c r="E575" s="1"/>
    </row>
    <row r="576" spans="5:5" ht="12.5">
      <c r="E576" s="1"/>
    </row>
    <row r="577" spans="5:5" ht="12.5">
      <c r="E577" s="1"/>
    </row>
    <row r="578" spans="5:5" ht="12.5">
      <c r="E578" s="1"/>
    </row>
    <row r="579" spans="5:5" ht="12.5">
      <c r="E579" s="1"/>
    </row>
    <row r="580" spans="5:5" ht="12.5">
      <c r="E580" s="1"/>
    </row>
    <row r="581" spans="5:5" ht="12.5">
      <c r="E581" s="1"/>
    </row>
    <row r="582" spans="5:5" ht="12.5">
      <c r="E582" s="1"/>
    </row>
    <row r="583" spans="5:5" ht="12.5">
      <c r="E583" s="1"/>
    </row>
    <row r="584" spans="5:5" ht="12.5">
      <c r="E584" s="1"/>
    </row>
    <row r="585" spans="5:5" ht="12.5">
      <c r="E585" s="1"/>
    </row>
    <row r="586" spans="5:5" ht="12.5">
      <c r="E586" s="1"/>
    </row>
    <row r="587" spans="5:5" ht="12.5">
      <c r="E587" s="1"/>
    </row>
    <row r="588" spans="5:5" ht="12.5">
      <c r="E588" s="1"/>
    </row>
    <row r="589" spans="5:5" ht="12.5">
      <c r="E589" s="1"/>
    </row>
    <row r="590" spans="5:5" ht="12.5">
      <c r="E590" s="1"/>
    </row>
    <row r="591" spans="5:5" ht="12.5">
      <c r="E591" s="1"/>
    </row>
    <row r="592" spans="5:5" ht="12.5">
      <c r="E592" s="1"/>
    </row>
    <row r="593" spans="5:5" ht="12.5">
      <c r="E593" s="1"/>
    </row>
    <row r="594" spans="5:5" ht="12.5">
      <c r="E594" s="1"/>
    </row>
    <row r="595" spans="5:5" ht="12.5">
      <c r="E595" s="1"/>
    </row>
    <row r="596" spans="5:5" ht="12.5">
      <c r="E596" s="1"/>
    </row>
    <row r="597" spans="5:5" ht="12.5">
      <c r="E597" s="1"/>
    </row>
    <row r="598" spans="5:5" ht="12.5">
      <c r="E598" s="1"/>
    </row>
    <row r="599" spans="5:5" ht="12.5">
      <c r="E599" s="1"/>
    </row>
    <row r="600" spans="5:5" ht="12.5">
      <c r="E600" s="1"/>
    </row>
    <row r="601" spans="5:5" ht="12.5">
      <c r="E601" s="1"/>
    </row>
    <row r="602" spans="5:5" ht="12.5">
      <c r="E602" s="1"/>
    </row>
    <row r="603" spans="5:5" ht="12.5">
      <c r="E603" s="1"/>
    </row>
    <row r="604" spans="5:5" ht="12.5">
      <c r="E604" s="1"/>
    </row>
    <row r="605" spans="5:5" ht="12.5">
      <c r="E605" s="1"/>
    </row>
    <row r="606" spans="5:5" ht="12.5">
      <c r="E606" s="1"/>
    </row>
    <row r="607" spans="5:5" ht="12.5">
      <c r="E607" s="1"/>
    </row>
    <row r="608" spans="5:5" ht="12.5">
      <c r="E608" s="1"/>
    </row>
    <row r="609" spans="5:5" ht="12.5">
      <c r="E609" s="1"/>
    </row>
    <row r="610" spans="5:5" ht="12.5">
      <c r="E610" s="1"/>
    </row>
    <row r="611" spans="5:5" ht="12.5">
      <c r="E611" s="1"/>
    </row>
    <row r="612" spans="5:5" ht="12.5">
      <c r="E612" s="1"/>
    </row>
    <row r="613" spans="5:5" ht="12.5">
      <c r="E613" s="1"/>
    </row>
    <row r="614" spans="5:5" ht="12.5">
      <c r="E614" s="1"/>
    </row>
    <row r="615" spans="5:5" ht="12.5">
      <c r="E615" s="1"/>
    </row>
    <row r="616" spans="5:5" ht="12.5">
      <c r="E616" s="1"/>
    </row>
    <row r="617" spans="5:5" ht="12.5">
      <c r="E617" s="1"/>
    </row>
    <row r="618" spans="5:5" ht="12.5">
      <c r="E618" s="1"/>
    </row>
    <row r="619" spans="5:5" ht="12.5">
      <c r="E619" s="1"/>
    </row>
    <row r="620" spans="5:5" ht="12.5">
      <c r="E620" s="1"/>
    </row>
    <row r="621" spans="5:5" ht="12.5">
      <c r="E621" s="1"/>
    </row>
    <row r="622" spans="5:5" ht="12.5">
      <c r="E622" s="1"/>
    </row>
    <row r="623" spans="5:5" ht="12.5">
      <c r="E623" s="1"/>
    </row>
    <row r="624" spans="5:5" ht="12.5">
      <c r="E624" s="1"/>
    </row>
    <row r="625" spans="5:5" ht="12.5">
      <c r="E625" s="1"/>
    </row>
    <row r="626" spans="5:5" ht="12.5">
      <c r="E626" s="1"/>
    </row>
    <row r="627" spans="5:5" ht="12.5">
      <c r="E627" s="1"/>
    </row>
    <row r="628" spans="5:5" ht="12.5">
      <c r="E628" s="1"/>
    </row>
    <row r="629" spans="5:5" ht="12.5">
      <c r="E629" s="1"/>
    </row>
    <row r="630" spans="5:5" ht="12.5">
      <c r="E630" s="1"/>
    </row>
    <row r="631" spans="5:5" ht="12.5">
      <c r="E631" s="1"/>
    </row>
    <row r="632" spans="5:5" ht="12.5">
      <c r="E632" s="1"/>
    </row>
    <row r="633" spans="5:5" ht="12.5">
      <c r="E633" s="1"/>
    </row>
    <row r="634" spans="5:5" ht="12.5">
      <c r="E634" s="1"/>
    </row>
    <row r="635" spans="5:5" ht="12.5">
      <c r="E635" s="1"/>
    </row>
    <row r="636" spans="5:5" ht="12.5">
      <c r="E636" s="1"/>
    </row>
    <row r="637" spans="5:5" ht="12.5">
      <c r="E637" s="1"/>
    </row>
    <row r="638" spans="5:5" ht="12.5">
      <c r="E638" s="1"/>
    </row>
    <row r="639" spans="5:5" ht="12.5">
      <c r="E639" s="1"/>
    </row>
    <row r="640" spans="5:5" ht="12.5">
      <c r="E640" s="1"/>
    </row>
    <row r="641" spans="5:5" ht="12.5">
      <c r="E641" s="1"/>
    </row>
    <row r="642" spans="5:5" ht="12.5">
      <c r="E642" s="1"/>
    </row>
    <row r="643" spans="5:5" ht="12.5">
      <c r="E643" s="1"/>
    </row>
    <row r="644" spans="5:5" ht="12.5">
      <c r="E644" s="1"/>
    </row>
    <row r="645" spans="5:5" ht="12.5">
      <c r="E645" s="1"/>
    </row>
    <row r="646" spans="5:5" ht="12.5">
      <c r="E646" s="1"/>
    </row>
    <row r="647" spans="5:5" ht="12.5">
      <c r="E647" s="1"/>
    </row>
    <row r="648" spans="5:5" ht="12.5">
      <c r="E648" s="1"/>
    </row>
    <row r="649" spans="5:5" ht="12.5">
      <c r="E649" s="1"/>
    </row>
    <row r="650" spans="5:5" ht="12.5">
      <c r="E650" s="1"/>
    </row>
    <row r="651" spans="5:5" ht="12.5">
      <c r="E651" s="1"/>
    </row>
    <row r="652" spans="5:5" ht="12.5">
      <c r="E652" s="1"/>
    </row>
    <row r="653" spans="5:5" ht="12.5">
      <c r="E653" s="1"/>
    </row>
    <row r="654" spans="5:5" ht="12.5">
      <c r="E654" s="1"/>
    </row>
    <row r="655" spans="5:5" ht="12.5">
      <c r="E655" s="1"/>
    </row>
    <row r="656" spans="5:5" ht="12.5">
      <c r="E656" s="1"/>
    </row>
    <row r="657" spans="5:5" ht="12.5">
      <c r="E657" s="1"/>
    </row>
    <row r="658" spans="5:5" ht="12.5">
      <c r="E658" s="1"/>
    </row>
    <row r="659" spans="5:5" ht="12.5">
      <c r="E659" s="1"/>
    </row>
    <row r="660" spans="5:5" ht="12.5">
      <c r="E660" s="1"/>
    </row>
    <row r="661" spans="5:5" ht="12.5">
      <c r="E661" s="1"/>
    </row>
    <row r="662" spans="5:5" ht="12.5">
      <c r="E662" s="1"/>
    </row>
    <row r="663" spans="5:5" ht="12.5">
      <c r="E663" s="1"/>
    </row>
    <row r="664" spans="5:5" ht="12.5">
      <c r="E664" s="1"/>
    </row>
    <row r="665" spans="5:5" ht="12.5">
      <c r="E665" s="1"/>
    </row>
    <row r="666" spans="5:5" ht="12.5">
      <c r="E666" s="1"/>
    </row>
    <row r="667" spans="5:5" ht="12.5">
      <c r="E667" s="1"/>
    </row>
    <row r="668" spans="5:5" ht="12.5">
      <c r="E668" s="1"/>
    </row>
    <row r="669" spans="5:5" ht="12.5">
      <c r="E669" s="1"/>
    </row>
    <row r="670" spans="5:5" ht="12.5">
      <c r="E670" s="1"/>
    </row>
    <row r="671" spans="5:5" ht="12.5">
      <c r="E671" s="1"/>
    </row>
    <row r="672" spans="5:5" ht="12.5">
      <c r="E672" s="1"/>
    </row>
    <row r="673" spans="5:5" ht="12.5">
      <c r="E673" s="1"/>
    </row>
    <row r="674" spans="5:5" ht="12.5">
      <c r="E674" s="1"/>
    </row>
    <row r="675" spans="5:5" ht="12.5">
      <c r="E675" s="1"/>
    </row>
    <row r="676" spans="5:5" ht="12.5">
      <c r="E676" s="1"/>
    </row>
    <row r="677" spans="5:5" ht="12.5">
      <c r="E677" s="1"/>
    </row>
    <row r="678" spans="5:5" ht="12.5">
      <c r="E678" s="1"/>
    </row>
    <row r="679" spans="5:5" ht="12.5">
      <c r="E679" s="1"/>
    </row>
    <row r="680" spans="5:5" ht="12.5">
      <c r="E680" s="1"/>
    </row>
    <row r="681" spans="5:5" ht="12.5">
      <c r="E681" s="1"/>
    </row>
    <row r="682" spans="5:5" ht="12.5">
      <c r="E682" s="1"/>
    </row>
    <row r="683" spans="5:5" ht="12.5">
      <c r="E683" s="1"/>
    </row>
    <row r="684" spans="5:5" ht="12.5">
      <c r="E684" s="1"/>
    </row>
    <row r="685" spans="5:5" ht="12.5">
      <c r="E685" s="1"/>
    </row>
    <row r="686" spans="5:5" ht="12.5">
      <c r="E686" s="1"/>
    </row>
    <row r="687" spans="5:5" ht="12.5">
      <c r="E687" s="1"/>
    </row>
    <row r="688" spans="5:5" ht="12.5">
      <c r="E688" s="1"/>
    </row>
    <row r="689" spans="5:5" ht="12.5">
      <c r="E689" s="1"/>
    </row>
    <row r="690" spans="5:5" ht="12.5">
      <c r="E690" s="1"/>
    </row>
    <row r="691" spans="5:5" ht="12.5">
      <c r="E691" s="1"/>
    </row>
    <row r="692" spans="5:5" ht="12.5">
      <c r="E692" s="1"/>
    </row>
    <row r="693" spans="5:5" ht="12.5">
      <c r="E693" s="1"/>
    </row>
    <row r="694" spans="5:5" ht="12.5">
      <c r="E694" s="1"/>
    </row>
    <row r="695" spans="5:5" ht="12.5">
      <c r="E695" s="1"/>
    </row>
    <row r="696" spans="5:5" ht="12.5">
      <c r="E696" s="1"/>
    </row>
    <row r="697" spans="5:5" ht="12.5">
      <c r="E697" s="1"/>
    </row>
    <row r="698" spans="5:5" ht="12.5">
      <c r="E698" s="1"/>
    </row>
    <row r="699" spans="5:5" ht="12.5">
      <c r="E699" s="1"/>
    </row>
    <row r="700" spans="5:5" ht="12.5">
      <c r="E700" s="1"/>
    </row>
    <row r="701" spans="5:5" ht="12.5">
      <c r="E701" s="1"/>
    </row>
    <row r="702" spans="5:5" ht="12.5">
      <c r="E702" s="1"/>
    </row>
    <row r="703" spans="5:5" ht="12.5">
      <c r="E703" s="1"/>
    </row>
    <row r="704" spans="5:5" ht="12.5">
      <c r="E704" s="1"/>
    </row>
    <row r="705" spans="5:5" ht="12.5">
      <c r="E705" s="1"/>
    </row>
    <row r="706" spans="5:5" ht="12.5">
      <c r="E706" s="1"/>
    </row>
    <row r="707" spans="5:5" ht="12.5">
      <c r="E707" s="1"/>
    </row>
    <row r="708" spans="5:5" ht="12.5">
      <c r="E708" s="1"/>
    </row>
    <row r="709" spans="5:5" ht="12.5">
      <c r="E709" s="1"/>
    </row>
    <row r="710" spans="5:5" ht="12.5">
      <c r="E710" s="1"/>
    </row>
    <row r="711" spans="5:5" ht="12.5">
      <c r="E711" s="1"/>
    </row>
    <row r="712" spans="5:5" ht="12.5">
      <c r="E712" s="1"/>
    </row>
    <row r="713" spans="5:5" ht="12.5">
      <c r="E713" s="1"/>
    </row>
    <row r="714" spans="5:5" ht="12.5">
      <c r="E714" s="1"/>
    </row>
    <row r="715" spans="5:5" ht="12.5">
      <c r="E715" s="1"/>
    </row>
    <row r="716" spans="5:5" ht="12.5">
      <c r="E716" s="1"/>
    </row>
    <row r="717" spans="5:5" ht="12.5">
      <c r="E717" s="1"/>
    </row>
    <row r="718" spans="5:5" ht="12.5">
      <c r="E718" s="1"/>
    </row>
    <row r="719" spans="5:5" ht="12.5">
      <c r="E719" s="1"/>
    </row>
    <row r="720" spans="5:5" ht="12.5">
      <c r="E720" s="1"/>
    </row>
    <row r="721" spans="5:5" ht="12.5">
      <c r="E721" s="1"/>
    </row>
    <row r="722" spans="5:5" ht="12.5">
      <c r="E722" s="1"/>
    </row>
    <row r="723" spans="5:5" ht="12.5">
      <c r="E723" s="1"/>
    </row>
    <row r="724" spans="5:5" ht="12.5">
      <c r="E724" s="1"/>
    </row>
    <row r="725" spans="5:5" ht="12.5">
      <c r="E725" s="1"/>
    </row>
    <row r="726" spans="5:5" ht="12.5">
      <c r="E726" s="1"/>
    </row>
    <row r="727" spans="5:5" ht="12.5">
      <c r="E727" s="1"/>
    </row>
    <row r="728" spans="5:5" ht="12.5">
      <c r="E728" s="1"/>
    </row>
    <row r="729" spans="5:5" ht="12.5">
      <c r="E729" s="1"/>
    </row>
    <row r="730" spans="5:5" ht="12.5">
      <c r="E730" s="1"/>
    </row>
    <row r="731" spans="5:5" ht="12.5">
      <c r="E731" s="1"/>
    </row>
    <row r="732" spans="5:5" ht="12.5">
      <c r="E732" s="1"/>
    </row>
    <row r="733" spans="5:5" ht="12.5">
      <c r="E733" s="1"/>
    </row>
    <row r="734" spans="5:5" ht="12.5">
      <c r="E734" s="1"/>
    </row>
    <row r="735" spans="5:5" ht="12.5">
      <c r="E735" s="1"/>
    </row>
    <row r="736" spans="5:5" ht="12.5">
      <c r="E736" s="1"/>
    </row>
    <row r="737" spans="5:5" ht="12.5">
      <c r="E737" s="1"/>
    </row>
    <row r="738" spans="5:5" ht="12.5">
      <c r="E738" s="1"/>
    </row>
    <row r="739" spans="5:5" ht="12.5">
      <c r="E739" s="1"/>
    </row>
    <row r="740" spans="5:5" ht="12.5">
      <c r="E740" s="1"/>
    </row>
    <row r="741" spans="5:5" ht="12.5">
      <c r="E741" s="1"/>
    </row>
    <row r="742" spans="5:5" ht="12.5">
      <c r="E742" s="1"/>
    </row>
    <row r="743" spans="5:5" ht="12.5">
      <c r="E743" s="1"/>
    </row>
    <row r="744" spans="5:5" ht="12.5">
      <c r="E744" s="1"/>
    </row>
    <row r="745" spans="5:5" ht="12.5">
      <c r="E745" s="1"/>
    </row>
    <row r="746" spans="5:5" ht="12.5">
      <c r="E746" s="1"/>
    </row>
    <row r="747" spans="5:5" ht="12.5">
      <c r="E747" s="1"/>
    </row>
    <row r="748" spans="5:5" ht="12.5">
      <c r="E748" s="1"/>
    </row>
    <row r="749" spans="5:5" ht="12.5">
      <c r="E749" s="1"/>
    </row>
    <row r="750" spans="5:5" ht="12.5">
      <c r="E750" s="1"/>
    </row>
    <row r="751" spans="5:5" ht="12.5">
      <c r="E751" s="1"/>
    </row>
    <row r="752" spans="5:5" ht="12.5">
      <c r="E752" s="1"/>
    </row>
    <row r="753" spans="5:5" ht="12.5">
      <c r="E753" s="1"/>
    </row>
    <row r="754" spans="5:5" ht="12.5">
      <c r="E754" s="1"/>
    </row>
    <row r="755" spans="5:5" ht="12.5">
      <c r="E755" s="1"/>
    </row>
    <row r="756" spans="5:5" ht="12.5">
      <c r="E756" s="1"/>
    </row>
    <row r="757" spans="5:5" ht="12.5">
      <c r="E757" s="1"/>
    </row>
    <row r="758" spans="5:5" ht="12.5">
      <c r="E758" s="1"/>
    </row>
    <row r="759" spans="5:5" ht="12.5">
      <c r="E759" s="1"/>
    </row>
    <row r="760" spans="5:5" ht="12.5">
      <c r="E760" s="1"/>
    </row>
    <row r="761" spans="5:5" ht="12.5">
      <c r="E761" s="1"/>
    </row>
    <row r="762" spans="5:5" ht="12.5">
      <c r="E762" s="1"/>
    </row>
    <row r="763" spans="5:5" ht="12.5">
      <c r="E763" s="1"/>
    </row>
    <row r="764" spans="5:5" ht="12.5">
      <c r="E764" s="1"/>
    </row>
    <row r="765" spans="5:5" ht="12.5">
      <c r="E765" s="1"/>
    </row>
    <row r="766" spans="5:5" ht="12.5">
      <c r="E766" s="1"/>
    </row>
    <row r="767" spans="5:5" ht="12.5">
      <c r="E767" s="1"/>
    </row>
    <row r="768" spans="5:5" ht="12.5">
      <c r="E768" s="1"/>
    </row>
    <row r="769" spans="5:5" ht="12.5">
      <c r="E769" s="1"/>
    </row>
    <row r="770" spans="5:5" ht="12.5">
      <c r="E770" s="1"/>
    </row>
    <row r="771" spans="5:5" ht="12.5">
      <c r="E771" s="1"/>
    </row>
    <row r="772" spans="5:5" ht="12.5">
      <c r="E772" s="1"/>
    </row>
    <row r="773" spans="5:5" ht="12.5">
      <c r="E773" s="1"/>
    </row>
    <row r="774" spans="5:5" ht="12.5">
      <c r="E774" s="1"/>
    </row>
    <row r="775" spans="5:5" ht="12.5">
      <c r="E775" s="1"/>
    </row>
    <row r="776" spans="5:5" ht="12.5">
      <c r="E776" s="1"/>
    </row>
    <row r="777" spans="5:5" ht="12.5">
      <c r="E777" s="1"/>
    </row>
    <row r="778" spans="5:5" ht="12.5">
      <c r="E778" s="1"/>
    </row>
    <row r="779" spans="5:5" ht="12.5">
      <c r="E779" s="1"/>
    </row>
    <row r="780" spans="5:5" ht="12.5">
      <c r="E780" s="1"/>
    </row>
    <row r="781" spans="5:5" ht="12.5">
      <c r="E781" s="1"/>
    </row>
    <row r="782" spans="5:5" ht="12.5">
      <c r="E782" s="1"/>
    </row>
    <row r="783" spans="5:5" ht="12.5">
      <c r="E783" s="1"/>
    </row>
    <row r="784" spans="5:5" ht="12.5">
      <c r="E784" s="1"/>
    </row>
    <row r="785" spans="5:5" ht="12.5">
      <c r="E785" s="1"/>
    </row>
    <row r="786" spans="5:5" ht="12.5">
      <c r="E786" s="1"/>
    </row>
    <row r="787" spans="5:5" ht="12.5">
      <c r="E787" s="1"/>
    </row>
    <row r="788" spans="5:5" ht="12.5">
      <c r="E788" s="1"/>
    </row>
    <row r="789" spans="5:5" ht="12.5">
      <c r="E789" s="1"/>
    </row>
    <row r="790" spans="5:5" ht="12.5">
      <c r="E790" s="1"/>
    </row>
    <row r="791" spans="5:5" ht="12.5">
      <c r="E791" s="1"/>
    </row>
    <row r="792" spans="5:5" ht="12.5">
      <c r="E792" s="1"/>
    </row>
    <row r="793" spans="5:5" ht="12.5">
      <c r="E793" s="1"/>
    </row>
    <row r="794" spans="5:5" ht="12.5">
      <c r="E794" s="1"/>
    </row>
    <row r="795" spans="5:5" ht="12.5">
      <c r="E795" s="1"/>
    </row>
    <row r="796" spans="5:5" ht="12.5">
      <c r="E796" s="1"/>
    </row>
    <row r="797" spans="5:5" ht="12.5">
      <c r="E797" s="1"/>
    </row>
    <row r="798" spans="5:5" ht="12.5">
      <c r="E798" s="1"/>
    </row>
    <row r="799" spans="5:5" ht="12.5">
      <c r="E799" s="1"/>
    </row>
    <row r="800" spans="5:5" ht="12.5">
      <c r="E800" s="1"/>
    </row>
    <row r="801" spans="5:5" ht="12.5">
      <c r="E801" s="1"/>
    </row>
    <row r="802" spans="5:5" ht="12.5">
      <c r="E802" s="1"/>
    </row>
    <row r="803" spans="5:5" ht="12.5">
      <c r="E803" s="1"/>
    </row>
    <row r="804" spans="5:5" ht="12.5">
      <c r="E804" s="1"/>
    </row>
    <row r="805" spans="5:5" ht="12.5">
      <c r="E805" s="1"/>
    </row>
    <row r="806" spans="5:5" ht="12.5">
      <c r="E806" s="1"/>
    </row>
    <row r="807" spans="5:5" ht="12.5">
      <c r="E807" s="1"/>
    </row>
    <row r="808" spans="5:5" ht="12.5">
      <c r="E808" s="1"/>
    </row>
    <row r="809" spans="5:5" ht="12.5">
      <c r="E809" s="1"/>
    </row>
    <row r="810" spans="5:5" ht="12.5">
      <c r="E810" s="1"/>
    </row>
    <row r="811" spans="5:5" ht="12.5">
      <c r="E811" s="1"/>
    </row>
    <row r="812" spans="5:5" ht="12.5">
      <c r="E812" s="1"/>
    </row>
    <row r="813" spans="5:5" ht="12.5">
      <c r="E813" s="1"/>
    </row>
    <row r="814" spans="5:5" ht="12.5">
      <c r="E814" s="1"/>
    </row>
    <row r="815" spans="5:5" ht="12.5">
      <c r="E815" s="1"/>
    </row>
    <row r="816" spans="5:5" ht="12.5">
      <c r="E816" s="1"/>
    </row>
    <row r="817" spans="5:5" ht="12.5">
      <c r="E817" s="1"/>
    </row>
    <row r="818" spans="5:5" ht="12.5">
      <c r="E818" s="1"/>
    </row>
    <row r="819" spans="5:5" ht="12.5">
      <c r="E819" s="1"/>
    </row>
    <row r="820" spans="5:5" ht="12.5">
      <c r="E820" s="1"/>
    </row>
    <row r="821" spans="5:5" ht="12.5">
      <c r="E821" s="1"/>
    </row>
    <row r="822" spans="5:5" ht="12.5">
      <c r="E822" s="1"/>
    </row>
    <row r="823" spans="5:5" ht="12.5">
      <c r="E823" s="1"/>
    </row>
    <row r="824" spans="5:5" ht="12.5">
      <c r="E824" s="1"/>
    </row>
    <row r="825" spans="5:5" ht="12.5">
      <c r="E825" s="1"/>
    </row>
    <row r="826" spans="5:5" ht="12.5">
      <c r="E826" s="1"/>
    </row>
    <row r="827" spans="5:5" ht="12.5">
      <c r="E827" s="1"/>
    </row>
    <row r="828" spans="5:5" ht="12.5">
      <c r="E828" s="1"/>
    </row>
    <row r="829" spans="5:5" ht="12.5">
      <c r="E829" s="1"/>
    </row>
    <row r="830" spans="5:5" ht="12.5">
      <c r="E830" s="1"/>
    </row>
    <row r="831" spans="5:5" ht="12.5">
      <c r="E831" s="1"/>
    </row>
    <row r="832" spans="5:5" ht="12.5">
      <c r="E832" s="1"/>
    </row>
    <row r="833" spans="5:5" ht="12.5">
      <c r="E833" s="1"/>
    </row>
    <row r="834" spans="5:5" ht="12.5">
      <c r="E834" s="1"/>
    </row>
    <row r="835" spans="5:5" ht="12.5">
      <c r="E835" s="1"/>
    </row>
    <row r="836" spans="5:5" ht="12.5">
      <c r="E836" s="1"/>
    </row>
    <row r="837" spans="5:5" ht="12.5">
      <c r="E837" s="1"/>
    </row>
    <row r="838" spans="5:5" ht="12.5">
      <c r="E838" s="1"/>
    </row>
    <row r="839" spans="5:5" ht="12.5">
      <c r="E839" s="1"/>
    </row>
    <row r="840" spans="5:5" ht="12.5">
      <c r="E840" s="1"/>
    </row>
    <row r="841" spans="5:5" ht="12.5">
      <c r="E841" s="1"/>
    </row>
    <row r="842" spans="5:5" ht="12.5">
      <c r="E842" s="1"/>
    </row>
    <row r="843" spans="5:5" ht="12.5">
      <c r="E843" s="1"/>
    </row>
    <row r="844" spans="5:5" ht="12.5">
      <c r="E844" s="1"/>
    </row>
    <row r="845" spans="5:5" ht="12.5">
      <c r="E845" s="1"/>
    </row>
    <row r="846" spans="5:5" ht="12.5">
      <c r="E846" s="1"/>
    </row>
    <row r="847" spans="5:5" ht="12.5">
      <c r="E847" s="1"/>
    </row>
    <row r="848" spans="5:5" ht="12.5">
      <c r="E848" s="1"/>
    </row>
    <row r="849" spans="5:5" ht="12.5">
      <c r="E849" s="1"/>
    </row>
    <row r="850" spans="5:5" ht="12.5">
      <c r="E850" s="1"/>
    </row>
    <row r="851" spans="5:5" ht="12.5">
      <c r="E851" s="1"/>
    </row>
    <row r="852" spans="5:5" ht="12.5">
      <c r="E852" s="1"/>
    </row>
    <row r="853" spans="5:5" ht="12.5">
      <c r="E853" s="1"/>
    </row>
    <row r="854" spans="5:5" ht="12.5">
      <c r="E854" s="1"/>
    </row>
    <row r="855" spans="5:5" ht="12.5">
      <c r="E855" s="1"/>
    </row>
    <row r="856" spans="5:5" ht="12.5">
      <c r="E856" s="1"/>
    </row>
    <row r="857" spans="5:5" ht="12.5">
      <c r="E857" s="1"/>
    </row>
    <row r="858" spans="5:5" ht="12.5">
      <c r="E858" s="1"/>
    </row>
    <row r="859" spans="5:5" ht="12.5">
      <c r="E859" s="1"/>
    </row>
    <row r="860" spans="5:5" ht="12.5">
      <c r="E860" s="1"/>
    </row>
    <row r="861" spans="5:5" ht="12.5">
      <c r="E861" s="1"/>
    </row>
    <row r="862" spans="5:5" ht="12.5">
      <c r="E862" s="1"/>
    </row>
    <row r="863" spans="5:5" ht="12.5">
      <c r="E863" s="1"/>
    </row>
    <row r="864" spans="5:5" ht="12.5">
      <c r="E864" s="1"/>
    </row>
    <row r="865" spans="5:5" ht="12.5">
      <c r="E865" s="1"/>
    </row>
    <row r="866" spans="5:5" ht="12.5">
      <c r="E866" s="1"/>
    </row>
    <row r="867" spans="5:5" ht="12.5">
      <c r="E867" s="1"/>
    </row>
    <row r="868" spans="5:5" ht="12.5">
      <c r="E868" s="1"/>
    </row>
    <row r="869" spans="5:5" ht="12.5">
      <c r="E869" s="1"/>
    </row>
    <row r="870" spans="5:5" ht="12.5">
      <c r="E870" s="1"/>
    </row>
    <row r="871" spans="5:5" ht="12.5">
      <c r="E871" s="1"/>
    </row>
    <row r="872" spans="5:5" ht="12.5">
      <c r="E872" s="1"/>
    </row>
    <row r="873" spans="5:5" ht="12.5">
      <c r="E873" s="1"/>
    </row>
    <row r="874" spans="5:5" ht="12.5">
      <c r="E874" s="1"/>
    </row>
    <row r="875" spans="5:5" ht="12.5">
      <c r="E875" s="1"/>
    </row>
    <row r="876" spans="5:5" ht="12.5">
      <c r="E876" s="1"/>
    </row>
    <row r="877" spans="5:5" ht="12.5">
      <c r="E877" s="1"/>
    </row>
    <row r="878" spans="5:5" ht="12.5">
      <c r="E878" s="1"/>
    </row>
    <row r="879" spans="5:5" ht="12.5">
      <c r="E879" s="1"/>
    </row>
    <row r="880" spans="5:5" ht="12.5">
      <c r="E880" s="1"/>
    </row>
    <row r="881" spans="5:5" ht="12.5">
      <c r="E881" s="1"/>
    </row>
    <row r="882" spans="5:5" ht="12.5">
      <c r="E882" s="1"/>
    </row>
    <row r="883" spans="5:5" ht="12.5">
      <c r="E883" s="1"/>
    </row>
    <row r="884" spans="5:5" ht="12.5">
      <c r="E884" s="1"/>
    </row>
    <row r="885" spans="5:5" ht="12.5">
      <c r="E885" s="1"/>
    </row>
    <row r="886" spans="5:5" ht="12.5">
      <c r="E886" s="1"/>
    </row>
    <row r="887" spans="5:5" ht="12.5">
      <c r="E887" s="1"/>
    </row>
    <row r="888" spans="5:5" ht="12.5">
      <c r="E888" s="1"/>
    </row>
    <row r="889" spans="5:5" ht="12.5">
      <c r="E889" s="1"/>
    </row>
    <row r="890" spans="5:5" ht="12.5">
      <c r="E890" s="1"/>
    </row>
    <row r="891" spans="5:5" ht="12.5">
      <c r="E891" s="1"/>
    </row>
    <row r="892" spans="5:5" ht="12.5">
      <c r="E892" s="1"/>
    </row>
    <row r="893" spans="5:5" ht="12.5">
      <c r="E893" s="1"/>
    </row>
    <row r="894" spans="5:5" ht="12.5">
      <c r="E894" s="1"/>
    </row>
    <row r="895" spans="5:5" ht="12.5">
      <c r="E895" s="1"/>
    </row>
    <row r="896" spans="5:5" ht="12.5">
      <c r="E896" s="1"/>
    </row>
    <row r="897" spans="5:5" ht="12.5">
      <c r="E897" s="1"/>
    </row>
    <row r="898" spans="5:5" ht="12.5">
      <c r="E898" s="1"/>
    </row>
    <row r="899" spans="5:5" ht="12.5">
      <c r="E899" s="1"/>
    </row>
    <row r="900" spans="5:5" ht="12.5">
      <c r="E900" s="1"/>
    </row>
    <row r="901" spans="5:5" ht="12.5">
      <c r="E901" s="1"/>
    </row>
    <row r="902" spans="5:5" ht="12.5">
      <c r="E902" s="1"/>
    </row>
    <row r="903" spans="5:5" ht="12.5">
      <c r="E903" s="1"/>
    </row>
    <row r="904" spans="5:5" ht="12.5">
      <c r="E904" s="1"/>
    </row>
    <row r="905" spans="5:5" ht="12.5">
      <c r="E905" s="1"/>
    </row>
    <row r="906" spans="5:5" ht="12.5">
      <c r="E906" s="1"/>
    </row>
    <row r="907" spans="5:5" ht="12.5">
      <c r="E907" s="1"/>
    </row>
    <row r="908" spans="5:5" ht="12.5">
      <c r="E908" s="1"/>
    </row>
    <row r="909" spans="5:5" ht="12.5">
      <c r="E909" s="1"/>
    </row>
    <row r="910" spans="5:5" ht="12.5">
      <c r="E910" s="1"/>
    </row>
    <row r="911" spans="5:5" ht="12.5">
      <c r="E911" s="1"/>
    </row>
    <row r="912" spans="5:5" ht="12.5">
      <c r="E912" s="1"/>
    </row>
    <row r="913" spans="5:5" ht="12.5">
      <c r="E913" s="1"/>
    </row>
    <row r="914" spans="5:5" ht="12.5">
      <c r="E914" s="1"/>
    </row>
    <row r="915" spans="5:5" ht="12.5">
      <c r="E915" s="1"/>
    </row>
    <row r="916" spans="5:5" ht="12.5">
      <c r="E916" s="1"/>
    </row>
    <row r="917" spans="5:5" ht="12.5">
      <c r="E917" s="1"/>
    </row>
    <row r="918" spans="5:5" ht="12.5">
      <c r="E918" s="1"/>
    </row>
    <row r="919" spans="5:5" ht="12.5">
      <c r="E919" s="1"/>
    </row>
    <row r="920" spans="5:5" ht="12.5">
      <c r="E920" s="1"/>
    </row>
    <row r="921" spans="5:5" ht="12.5">
      <c r="E921" s="1"/>
    </row>
    <row r="922" spans="5:5" ht="12.5">
      <c r="E922" s="1"/>
    </row>
    <row r="923" spans="5:5" ht="12.5">
      <c r="E923" s="1"/>
    </row>
    <row r="924" spans="5:5" ht="12.5">
      <c r="E924" s="1"/>
    </row>
    <row r="925" spans="5:5" ht="12.5">
      <c r="E925" s="1"/>
    </row>
    <row r="926" spans="5:5" ht="12.5">
      <c r="E926" s="1"/>
    </row>
    <row r="927" spans="5:5" ht="12.5">
      <c r="E927" s="1"/>
    </row>
    <row r="928" spans="5:5" ht="12.5">
      <c r="E928" s="1"/>
    </row>
    <row r="929" spans="5:5" ht="12.5">
      <c r="E929" s="1"/>
    </row>
    <row r="930" spans="5:5" ht="12.5">
      <c r="E930" s="1"/>
    </row>
    <row r="931" spans="5:5" ht="12.5">
      <c r="E931" s="1"/>
    </row>
    <row r="932" spans="5:5" ht="12.5">
      <c r="E932" s="1"/>
    </row>
    <row r="933" spans="5:5" ht="12.5">
      <c r="E933" s="1"/>
    </row>
    <row r="934" spans="5:5" ht="12.5">
      <c r="E934" s="1"/>
    </row>
    <row r="935" spans="5:5" ht="12.5">
      <c r="E935" s="1"/>
    </row>
    <row r="936" spans="5:5" ht="12.5">
      <c r="E936" s="1"/>
    </row>
    <row r="937" spans="5:5" ht="12.5">
      <c r="E937" s="1"/>
    </row>
    <row r="938" spans="5:5" ht="12.5">
      <c r="E938" s="1"/>
    </row>
    <row r="939" spans="5:5" ht="12.5">
      <c r="E939" s="1"/>
    </row>
    <row r="940" spans="5:5" ht="12.5">
      <c r="E940" s="1"/>
    </row>
    <row r="941" spans="5:5" ht="12.5">
      <c r="E941" s="1"/>
    </row>
    <row r="942" spans="5:5" ht="12.5">
      <c r="E942" s="1"/>
    </row>
    <row r="943" spans="5:5" ht="12.5">
      <c r="E943" s="1"/>
    </row>
    <row r="944" spans="5:5" ht="12.5">
      <c r="E944" s="1"/>
    </row>
    <row r="945" spans="5:5" ht="12.5">
      <c r="E945" s="1"/>
    </row>
    <row r="946" spans="5:5" ht="12.5">
      <c r="E946" s="1"/>
    </row>
    <row r="947" spans="5:5" ht="12.5">
      <c r="E947" s="1"/>
    </row>
    <row r="948" spans="5:5" ht="12.5">
      <c r="E948" s="1"/>
    </row>
    <row r="949" spans="5:5" ht="12.5">
      <c r="E949" s="1"/>
    </row>
    <row r="950" spans="5:5" ht="12.5">
      <c r="E950" s="1"/>
    </row>
    <row r="951" spans="5:5" ht="12.5">
      <c r="E951" s="1"/>
    </row>
    <row r="952" spans="5:5" ht="12.5">
      <c r="E952" s="1"/>
    </row>
    <row r="953" spans="5:5" ht="12.5">
      <c r="E953" s="1"/>
    </row>
    <row r="954" spans="5:5" ht="12.5">
      <c r="E954" s="1"/>
    </row>
    <row r="955" spans="5:5" ht="12.5">
      <c r="E955" s="1"/>
    </row>
    <row r="956" spans="5:5" ht="12.5">
      <c r="E956" s="1"/>
    </row>
    <row r="957" spans="5:5" ht="12.5">
      <c r="E957" s="1"/>
    </row>
    <row r="958" spans="5:5" ht="12.5">
      <c r="E958" s="1"/>
    </row>
    <row r="959" spans="5:5" ht="12.5">
      <c r="E959" s="1"/>
    </row>
    <row r="960" spans="5:5" ht="12.5">
      <c r="E960" s="1"/>
    </row>
    <row r="961" spans="5:5" ht="12.5">
      <c r="E961" s="1"/>
    </row>
    <row r="962" spans="5:5" ht="12.5">
      <c r="E962" s="1"/>
    </row>
    <row r="963" spans="5:5" ht="12.5">
      <c r="E963" s="1"/>
    </row>
    <row r="964" spans="5:5" ht="12.5">
      <c r="E964" s="1"/>
    </row>
    <row r="965" spans="5:5" ht="12.5">
      <c r="E965" s="1"/>
    </row>
    <row r="966" spans="5:5" ht="12.5">
      <c r="E966" s="1"/>
    </row>
    <row r="967" spans="5:5" ht="12.5">
      <c r="E967" s="1"/>
    </row>
    <row r="968" spans="5:5" ht="12.5">
      <c r="E968" s="1"/>
    </row>
    <row r="969" spans="5:5" ht="12.5">
      <c r="E969" s="1"/>
    </row>
    <row r="970" spans="5:5" ht="12.5">
      <c r="E970" s="1"/>
    </row>
    <row r="971" spans="5:5" ht="12.5">
      <c r="E971" s="1"/>
    </row>
    <row r="972" spans="5:5" ht="12.5">
      <c r="E972" s="1"/>
    </row>
    <row r="973" spans="5:5" ht="12.5">
      <c r="E973" s="1"/>
    </row>
    <row r="974" spans="5:5" ht="12.5">
      <c r="E974" s="1"/>
    </row>
    <row r="975" spans="5:5" ht="12.5">
      <c r="E975" s="1"/>
    </row>
    <row r="976" spans="5:5" ht="12.5">
      <c r="E976" s="1"/>
    </row>
    <row r="977" spans="5:5" ht="12.5">
      <c r="E977" s="1"/>
    </row>
    <row r="978" spans="5:5" ht="12.5">
      <c r="E978" s="1"/>
    </row>
    <row r="979" spans="5:5" ht="12.5">
      <c r="E979" s="1"/>
    </row>
    <row r="980" spans="5:5" ht="12.5">
      <c r="E980" s="1"/>
    </row>
    <row r="981" spans="5:5" ht="12.5">
      <c r="E981" s="1"/>
    </row>
    <row r="982" spans="5:5" ht="12.5">
      <c r="E982" s="1"/>
    </row>
    <row r="983" spans="5:5" ht="12.5">
      <c r="E983" s="1"/>
    </row>
    <row r="984" spans="5:5" ht="12.5">
      <c r="E984" s="1"/>
    </row>
    <row r="985" spans="5:5" ht="12.5">
      <c r="E985" s="1"/>
    </row>
    <row r="986" spans="5:5" ht="12.5">
      <c r="E986" s="1"/>
    </row>
    <row r="987" spans="5:5" ht="12.5">
      <c r="E987" s="1"/>
    </row>
    <row r="988" spans="5:5" ht="12.5">
      <c r="E988" s="1"/>
    </row>
    <row r="989" spans="5:5" ht="12.5">
      <c r="E989" s="1"/>
    </row>
    <row r="990" spans="5:5" ht="12.5">
      <c r="E990" s="1"/>
    </row>
    <row r="991" spans="5:5" ht="12.5">
      <c r="E991" s="1"/>
    </row>
    <row r="992" spans="5:5" ht="12.5">
      <c r="E992" s="1"/>
    </row>
    <row r="993" spans="5:5" ht="12.5">
      <c r="E993" s="1"/>
    </row>
    <row r="994" spans="5:5" ht="12.5">
      <c r="E994" s="1"/>
    </row>
    <row r="995" spans="5:5" ht="12.5">
      <c r="E995" s="1"/>
    </row>
    <row r="996" spans="5:5" ht="12.5">
      <c r="E996" s="1"/>
    </row>
    <row r="997" spans="5:5" ht="12.5">
      <c r="E997" s="1"/>
    </row>
    <row r="998" spans="5:5" ht="12.5">
      <c r="E998" s="1"/>
    </row>
    <row r="999" spans="5:5" ht="12.5">
      <c r="E999" s="1"/>
    </row>
    <row r="1000" spans="5:5" ht="12.5">
      <c r="E1000" s="1"/>
    </row>
    <row r="1001" spans="5:5" ht="12.5">
      <c r="E1001" s="1"/>
    </row>
    <row r="1002" spans="5:5" ht="12.5">
      <c r="E1002" s="1"/>
    </row>
    <row r="1003" spans="5:5" ht="12.5">
      <c r="E1003" s="1"/>
    </row>
    <row r="1004" spans="5:5" ht="12.5">
      <c r="E1004" s="1"/>
    </row>
    <row r="1005" spans="5:5" ht="12.5">
      <c r="E1005" s="1"/>
    </row>
    <row r="1006" spans="5:5" ht="12.5">
      <c r="E1006" s="1"/>
    </row>
    <row r="1007" spans="5:5" ht="12.5">
      <c r="E1007" s="1"/>
    </row>
    <row r="1008" spans="5:5" ht="12.5">
      <c r="E1008" s="1"/>
    </row>
    <row r="1009" spans="5:5" ht="12.5">
      <c r="E1009" s="1"/>
    </row>
    <row r="1010" spans="5:5" ht="12.5">
      <c r="E1010" s="1"/>
    </row>
    <row r="1011" spans="5:5" ht="12.5">
      <c r="E1011" s="1"/>
    </row>
    <row r="1012" spans="5:5" ht="12.5">
      <c r="E1012" s="1"/>
    </row>
    <row r="1013" spans="5:5" ht="12.5">
      <c r="E1013" s="1"/>
    </row>
    <row r="1014" spans="5:5" ht="12.5">
      <c r="E1014" s="1"/>
    </row>
    <row r="1015" spans="5:5" ht="12.5">
      <c r="E1015" s="1"/>
    </row>
    <row r="1016" spans="5:5" ht="12.5">
      <c r="E1016" s="1"/>
    </row>
    <row r="1017" spans="5:5" ht="12.5">
      <c r="E1017" s="1"/>
    </row>
    <row r="1018" spans="5:5" ht="12.5">
      <c r="E1018" s="1"/>
    </row>
    <row r="1019" spans="5:5" ht="12.5">
      <c r="E1019" s="1"/>
    </row>
    <row r="1020" spans="5:5" ht="12.5">
      <c r="E1020" s="1"/>
    </row>
    <row r="1021" spans="5:5" ht="12.5">
      <c r="E1021" s="1"/>
    </row>
    <row r="1022" spans="5:5" ht="12.5">
      <c r="E1022" s="1"/>
    </row>
    <row r="1023" spans="5:5" ht="12.5">
      <c r="E1023" s="1"/>
    </row>
    <row r="1024" spans="5:5" ht="12.5">
      <c r="E1024" s="1"/>
    </row>
    <row r="1025" spans="5:5" ht="12.5">
      <c r="E1025" s="1"/>
    </row>
    <row r="1026" spans="5:5" ht="12.5">
      <c r="E1026" s="1"/>
    </row>
    <row r="1027" spans="5:5" ht="12.5">
      <c r="E1027" s="1"/>
    </row>
    <row r="1028" spans="5:5" ht="12.5">
      <c r="E1028" s="1"/>
    </row>
    <row r="1029" spans="5:5" ht="12.5">
      <c r="E1029" s="1"/>
    </row>
    <row r="1030" spans="5:5" ht="12.5">
      <c r="E1030" s="1"/>
    </row>
    <row r="1031" spans="5:5" ht="12.5">
      <c r="E1031" s="1"/>
    </row>
    <row r="1032" spans="5:5" ht="12.5">
      <c r="E1032" s="1"/>
    </row>
    <row r="1033" spans="5:5" ht="12.5">
      <c r="E1033" s="1"/>
    </row>
    <row r="1034" spans="5:5" ht="12.5">
      <c r="E1034" s="1"/>
    </row>
    <row r="1035" spans="5:5" ht="12.5">
      <c r="E1035" s="1"/>
    </row>
    <row r="1036" spans="5:5" ht="12.5">
      <c r="E1036" s="1"/>
    </row>
    <row r="1037" spans="5:5" ht="12.5">
      <c r="E1037" s="1"/>
    </row>
    <row r="1038" spans="5:5" ht="12.5">
      <c r="E1038" s="1"/>
    </row>
  </sheetData>
  <autoFilter ref="A99:Z349" xr:uid="{00000000-0009-0000-0000-000002000000}">
    <sortState xmlns:xlrd2="http://schemas.microsoft.com/office/spreadsheetml/2017/richdata2" ref="A99:Z349">
      <sortCondition ref="A99:A349"/>
      <sortCondition ref="E99:E349"/>
    </sortState>
  </autoFilter>
  <mergeCells count="20">
    <mergeCell ref="A1:D1"/>
    <mergeCell ref="A3:C3"/>
    <mergeCell ref="A4:C4"/>
    <mergeCell ref="A5:C5"/>
    <mergeCell ref="A6:C6"/>
    <mergeCell ref="A7:C7"/>
    <mergeCell ref="A8:C8"/>
    <mergeCell ref="A16:D16"/>
    <mergeCell ref="A36:E36"/>
    <mergeCell ref="B37:E37"/>
    <mergeCell ref="A52:B52"/>
    <mergeCell ref="A58:B58"/>
    <mergeCell ref="A98:J98"/>
    <mergeCell ref="A9:C9"/>
    <mergeCell ref="A10:C10"/>
    <mergeCell ref="A11:C11"/>
    <mergeCell ref="A12:C12"/>
    <mergeCell ref="A14:D14"/>
    <mergeCell ref="A19:G19"/>
    <mergeCell ref="B20:G20"/>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47"/>
  <sheetViews>
    <sheetView showGridLines="0" zoomScale="145" zoomScaleNormal="145" workbookViewId="0">
      <selection activeCell="H20" sqref="H20"/>
    </sheetView>
  </sheetViews>
  <sheetFormatPr baseColWidth="10" defaultColWidth="12.6328125" defaultRowHeight="15.75" customHeight="1"/>
  <cols>
    <col min="1" max="1" width="33.36328125" bestFit="1" customWidth="1"/>
    <col min="2" max="2" width="15.08984375" bestFit="1" customWidth="1"/>
    <col min="3" max="3" width="14" bestFit="1" customWidth="1"/>
    <col min="4" max="4" width="13" bestFit="1" customWidth="1"/>
    <col min="5" max="5" width="11.90625" bestFit="1" customWidth="1"/>
    <col min="6" max="6" width="13.90625" bestFit="1" customWidth="1"/>
    <col min="7" max="7" width="14.7265625" bestFit="1" customWidth="1"/>
    <col min="8" max="8" width="14" bestFit="1" customWidth="1"/>
  </cols>
  <sheetData>
    <row r="1" spans="1:8" ht="12.5">
      <c r="A1" s="32" t="s">
        <v>792</v>
      </c>
      <c r="B1" s="32" t="s">
        <v>4</v>
      </c>
      <c r="C1" s="33"/>
      <c r="D1" s="33"/>
      <c r="E1" s="33"/>
      <c r="F1" s="33"/>
      <c r="G1" s="33"/>
      <c r="H1" s="34"/>
    </row>
    <row r="2" spans="1:8" ht="12.5">
      <c r="A2" s="32" t="s">
        <v>5</v>
      </c>
      <c r="B2" s="35" t="s">
        <v>13</v>
      </c>
      <c r="C2" s="36" t="s">
        <v>24</v>
      </c>
      <c r="D2" s="36" t="s">
        <v>58</v>
      </c>
      <c r="E2" s="36" t="s">
        <v>48</v>
      </c>
      <c r="F2" s="36" t="s">
        <v>37</v>
      </c>
      <c r="G2" s="36" t="s">
        <v>117</v>
      </c>
      <c r="H2" s="37" t="s">
        <v>793</v>
      </c>
    </row>
    <row r="3" spans="1:8" ht="12.5">
      <c r="A3" s="35" t="s">
        <v>178</v>
      </c>
      <c r="B3" s="53">
        <v>1173.9299999999998</v>
      </c>
      <c r="C3" s="54">
        <v>15262.839999999998</v>
      </c>
      <c r="D3" s="54">
        <v>12153.999999999998</v>
      </c>
      <c r="E3" s="54">
        <v>4427.08</v>
      </c>
      <c r="F3" s="54">
        <v>249.04</v>
      </c>
      <c r="G3" s="54">
        <v>604.26</v>
      </c>
      <c r="H3" s="55">
        <v>33871.15</v>
      </c>
    </row>
    <row r="4" spans="1:8" ht="12.5">
      <c r="A4" s="38" t="s">
        <v>67</v>
      </c>
      <c r="B4" s="56">
        <v>4610.26</v>
      </c>
      <c r="C4" s="57">
        <v>3745.67</v>
      </c>
      <c r="D4" s="57">
        <v>15653.269999999999</v>
      </c>
      <c r="E4" s="57">
        <v>403.84</v>
      </c>
      <c r="F4" s="57">
        <v>114.94</v>
      </c>
      <c r="G4" s="57">
        <v>183.21</v>
      </c>
      <c r="H4" s="58">
        <v>24711.189999999995</v>
      </c>
    </row>
    <row r="5" spans="1:8" ht="12.5">
      <c r="A5" s="38" t="s">
        <v>62</v>
      </c>
      <c r="B5" s="56">
        <v>2509.9899999999998</v>
      </c>
      <c r="C5" s="57">
        <v>6607.08</v>
      </c>
      <c r="D5" s="57">
        <v>26430.16</v>
      </c>
      <c r="E5" s="57">
        <v>3858.23</v>
      </c>
      <c r="F5" s="57"/>
      <c r="G5" s="57">
        <v>1647.13</v>
      </c>
      <c r="H5" s="58">
        <v>41052.589999999997</v>
      </c>
    </row>
    <row r="6" spans="1:8" ht="12.5">
      <c r="A6" s="38" t="s">
        <v>38</v>
      </c>
      <c r="B6" s="56">
        <v>3973.3999999999996</v>
      </c>
      <c r="C6" s="57">
        <v>996.5</v>
      </c>
      <c r="D6" s="57">
        <v>4503.3999999999996</v>
      </c>
      <c r="E6" s="57">
        <v>10192.24</v>
      </c>
      <c r="F6" s="57">
        <v>198.53</v>
      </c>
      <c r="G6" s="57">
        <v>373.45</v>
      </c>
      <c r="H6" s="58">
        <v>20237.52</v>
      </c>
    </row>
    <row r="7" spans="1:8" ht="12.5">
      <c r="A7" s="38" t="s">
        <v>96</v>
      </c>
      <c r="B7" s="56">
        <v>4840.2700000000004</v>
      </c>
      <c r="C7" s="57">
        <v>4164.71</v>
      </c>
      <c r="D7" s="57"/>
      <c r="E7" s="57">
        <v>7524.3400000000011</v>
      </c>
      <c r="F7" s="57">
        <v>1759.48</v>
      </c>
      <c r="G7" s="57">
        <v>4245.2</v>
      </c>
      <c r="H7" s="58">
        <v>22534</v>
      </c>
    </row>
    <row r="8" spans="1:8" ht="12.5">
      <c r="A8" s="38" t="s">
        <v>49</v>
      </c>
      <c r="B8" s="56">
        <v>2475.44</v>
      </c>
      <c r="C8" s="57">
        <v>4790.6100000000006</v>
      </c>
      <c r="D8" s="57">
        <v>2533</v>
      </c>
      <c r="E8" s="57">
        <v>3076.84</v>
      </c>
      <c r="F8" s="57"/>
      <c r="G8" s="57">
        <v>2319.25</v>
      </c>
      <c r="H8" s="58">
        <v>15195.140000000001</v>
      </c>
    </row>
    <row r="9" spans="1:8" ht="12.5">
      <c r="A9" s="38" t="s">
        <v>30</v>
      </c>
      <c r="B9" s="56">
        <v>747.95</v>
      </c>
      <c r="C9" s="57">
        <v>8780.2199999999993</v>
      </c>
      <c r="D9" s="57">
        <v>56800.240000000005</v>
      </c>
      <c r="E9" s="57">
        <v>10763.029999999999</v>
      </c>
      <c r="F9" s="57">
        <v>1163.9699999999998</v>
      </c>
      <c r="G9" s="57">
        <v>696.56000000000017</v>
      </c>
      <c r="H9" s="58">
        <v>78951.97</v>
      </c>
    </row>
    <row r="10" spans="1:8" ht="12.5">
      <c r="A10" s="38" t="s">
        <v>14</v>
      </c>
      <c r="B10" s="56">
        <v>1107.58</v>
      </c>
      <c r="C10" s="57">
        <v>14152.34</v>
      </c>
      <c r="D10" s="57">
        <v>47925.46</v>
      </c>
      <c r="E10" s="57">
        <v>1199.5999999999999</v>
      </c>
      <c r="F10" s="57">
        <v>294.63</v>
      </c>
      <c r="G10" s="57">
        <v>95.13</v>
      </c>
      <c r="H10" s="58">
        <v>64774.739999999991</v>
      </c>
    </row>
    <row r="11" spans="1:8" ht="12.5">
      <c r="A11" s="38" t="s">
        <v>51</v>
      </c>
      <c r="B11" s="56">
        <v>425.02000000000004</v>
      </c>
      <c r="C11" s="57">
        <v>3380.6400000000003</v>
      </c>
      <c r="D11" s="57">
        <v>2728.4700000000003</v>
      </c>
      <c r="E11" s="57">
        <v>1377.55</v>
      </c>
      <c r="F11" s="57">
        <v>1882.42</v>
      </c>
      <c r="G11" s="57">
        <v>515.5</v>
      </c>
      <c r="H11" s="58">
        <v>10309.600000000002</v>
      </c>
    </row>
    <row r="12" spans="1:8" ht="12.5">
      <c r="A12" s="38" t="s">
        <v>163</v>
      </c>
      <c r="B12" s="56">
        <v>3078.6600000000003</v>
      </c>
      <c r="C12" s="57">
        <v>11872.97</v>
      </c>
      <c r="D12" s="57"/>
      <c r="E12" s="57">
        <v>7365.2</v>
      </c>
      <c r="F12" s="57"/>
      <c r="G12" s="57">
        <v>95.39</v>
      </c>
      <c r="H12" s="58">
        <v>22412.219999999998</v>
      </c>
    </row>
    <row r="13" spans="1:8" ht="12.5">
      <c r="A13" s="38" t="s">
        <v>107</v>
      </c>
      <c r="B13" s="56">
        <v>5819.56</v>
      </c>
      <c r="C13" s="57">
        <v>1177.1099999999999</v>
      </c>
      <c r="D13" s="57">
        <v>958.86</v>
      </c>
      <c r="E13" s="57">
        <v>4908.2</v>
      </c>
      <c r="F13" s="57">
        <v>2214.3200000000002</v>
      </c>
      <c r="G13" s="57">
        <v>104.56</v>
      </c>
      <c r="H13" s="58">
        <v>15182.609999999999</v>
      </c>
    </row>
    <row r="14" spans="1:8" ht="12.5">
      <c r="A14" s="38" t="s">
        <v>25</v>
      </c>
      <c r="B14" s="56">
        <v>1406.8899999999999</v>
      </c>
      <c r="C14" s="57">
        <v>10276.16</v>
      </c>
      <c r="D14" s="57">
        <v>1227.17</v>
      </c>
      <c r="E14" s="57">
        <v>1335.01</v>
      </c>
      <c r="F14" s="57">
        <v>330.86</v>
      </c>
      <c r="G14" s="57">
        <v>825.73</v>
      </c>
      <c r="H14" s="58">
        <v>15401.82</v>
      </c>
    </row>
    <row r="15" spans="1:8" ht="12.5">
      <c r="A15" s="39" t="s">
        <v>793</v>
      </c>
      <c r="B15" s="59">
        <v>32168.95</v>
      </c>
      <c r="C15" s="60">
        <v>85206.85</v>
      </c>
      <c r="D15" s="60">
        <v>170914.03</v>
      </c>
      <c r="E15" s="60">
        <v>56431.159999999996</v>
      </c>
      <c r="F15" s="60">
        <v>8208.19</v>
      </c>
      <c r="G15" s="60">
        <v>11705.369999999997</v>
      </c>
      <c r="H15" s="61">
        <v>364634.55</v>
      </c>
    </row>
    <row r="18" spans="1:6" ht="12.5">
      <c r="A18" s="32" t="s">
        <v>792</v>
      </c>
      <c r="B18" s="32" t="s">
        <v>7</v>
      </c>
      <c r="C18" s="33"/>
      <c r="D18" s="33"/>
      <c r="E18" s="33"/>
      <c r="F18" s="34"/>
    </row>
    <row r="19" spans="1:6" ht="12.5">
      <c r="A19" s="32" t="s">
        <v>5</v>
      </c>
      <c r="B19" s="35" t="s">
        <v>71</v>
      </c>
      <c r="C19" s="36" t="s">
        <v>39</v>
      </c>
      <c r="D19" s="36" t="s">
        <v>32</v>
      </c>
      <c r="E19" s="36" t="s">
        <v>17</v>
      </c>
      <c r="F19" s="37" t="s">
        <v>793</v>
      </c>
    </row>
    <row r="20" spans="1:6" ht="12.5">
      <c r="A20" s="35" t="s">
        <v>178</v>
      </c>
      <c r="B20" s="53">
        <v>13491.729999999998</v>
      </c>
      <c r="C20" s="54">
        <v>667.97</v>
      </c>
      <c r="D20" s="54">
        <v>5480.5099999999993</v>
      </c>
      <c r="E20" s="54">
        <v>14230.939999999999</v>
      </c>
      <c r="F20" s="55">
        <v>33871.149999999994</v>
      </c>
    </row>
    <row r="21" spans="1:6" ht="12.5">
      <c r="A21" s="38" t="s">
        <v>67</v>
      </c>
      <c r="B21" s="56">
        <v>4015.28</v>
      </c>
      <c r="C21" s="57">
        <v>16125.900000000001</v>
      </c>
      <c r="D21" s="57">
        <v>3357.63</v>
      </c>
      <c r="E21" s="57">
        <v>1212.3800000000001</v>
      </c>
      <c r="F21" s="58">
        <v>24711.190000000002</v>
      </c>
    </row>
    <row r="22" spans="1:6" ht="12.5">
      <c r="A22" s="38" t="s">
        <v>62</v>
      </c>
      <c r="B22" s="56">
        <v>1075.49</v>
      </c>
      <c r="C22" s="57">
        <v>8161.6599999999989</v>
      </c>
      <c r="D22" s="57">
        <v>24600.09</v>
      </c>
      <c r="E22" s="57">
        <v>7215.3499999999995</v>
      </c>
      <c r="F22" s="58">
        <v>41052.589999999997</v>
      </c>
    </row>
    <row r="23" spans="1:6" ht="12.5">
      <c r="A23" s="38" t="s">
        <v>38</v>
      </c>
      <c r="B23" s="56">
        <v>17856.3</v>
      </c>
      <c r="C23" s="57">
        <v>112.19</v>
      </c>
      <c r="D23" s="57">
        <v>260.51</v>
      </c>
      <c r="E23" s="57">
        <v>2008.52</v>
      </c>
      <c r="F23" s="58">
        <v>20237.519999999997</v>
      </c>
    </row>
    <row r="24" spans="1:6" ht="12.5">
      <c r="A24" s="38" t="s">
        <v>96</v>
      </c>
      <c r="B24" s="56">
        <v>7564.8100000000013</v>
      </c>
      <c r="C24" s="57">
        <v>275.18</v>
      </c>
      <c r="D24" s="57">
        <v>8172.73</v>
      </c>
      <c r="E24" s="57">
        <v>6521.2800000000007</v>
      </c>
      <c r="F24" s="58">
        <v>22534</v>
      </c>
    </row>
    <row r="25" spans="1:6" ht="12.5">
      <c r="A25" s="38" t="s">
        <v>49</v>
      </c>
      <c r="B25" s="56">
        <v>372.97</v>
      </c>
      <c r="C25" s="57">
        <v>4705.6500000000005</v>
      </c>
      <c r="D25" s="57">
        <v>784.01</v>
      </c>
      <c r="E25" s="57">
        <v>9332.51</v>
      </c>
      <c r="F25" s="58">
        <v>15195.140000000001</v>
      </c>
    </row>
    <row r="26" spans="1:6" ht="12.5">
      <c r="A26" s="38" t="s">
        <v>30</v>
      </c>
      <c r="B26" s="56">
        <v>14116.999999999998</v>
      </c>
      <c r="C26" s="57">
        <v>28295.08</v>
      </c>
      <c r="D26" s="57">
        <v>26328.690000000002</v>
      </c>
      <c r="E26" s="57">
        <v>10211.200000000001</v>
      </c>
      <c r="F26" s="58">
        <v>78951.97</v>
      </c>
    </row>
    <row r="27" spans="1:6" ht="12.5">
      <c r="A27" s="38" t="s">
        <v>14</v>
      </c>
      <c r="B27" s="56">
        <v>47137.04</v>
      </c>
      <c r="C27" s="57">
        <v>3848.7200000000003</v>
      </c>
      <c r="D27" s="57">
        <v>11835.36</v>
      </c>
      <c r="E27" s="57">
        <v>1953.6200000000001</v>
      </c>
      <c r="F27" s="58">
        <v>64774.740000000005</v>
      </c>
    </row>
    <row r="28" spans="1:6" ht="12.5">
      <c r="A28" s="38" t="s">
        <v>51</v>
      </c>
      <c r="B28" s="56">
        <v>2310.33</v>
      </c>
      <c r="C28" s="57">
        <v>3060.5299999999997</v>
      </c>
      <c r="D28" s="57">
        <v>2125.56</v>
      </c>
      <c r="E28" s="57">
        <v>2813.18</v>
      </c>
      <c r="F28" s="58">
        <v>10309.6</v>
      </c>
    </row>
    <row r="29" spans="1:6" ht="12.5">
      <c r="A29" s="38" t="s">
        <v>163</v>
      </c>
      <c r="B29" s="56">
        <v>5953.0400000000009</v>
      </c>
      <c r="C29" s="57">
        <v>2149.6600000000003</v>
      </c>
      <c r="D29" s="57">
        <v>996</v>
      </c>
      <c r="E29" s="57">
        <v>13313.52</v>
      </c>
      <c r="F29" s="58">
        <v>22412.22</v>
      </c>
    </row>
    <row r="30" spans="1:6" ht="12.5">
      <c r="A30" s="38" t="s">
        <v>107</v>
      </c>
      <c r="B30" s="56">
        <v>5058.26</v>
      </c>
      <c r="C30" s="57">
        <v>7650.3799999999992</v>
      </c>
      <c r="D30" s="57">
        <v>946.37</v>
      </c>
      <c r="E30" s="57">
        <v>1527.6</v>
      </c>
      <c r="F30" s="58">
        <v>15182.61</v>
      </c>
    </row>
    <row r="31" spans="1:6" ht="12.5">
      <c r="A31" s="38" t="s">
        <v>25</v>
      </c>
      <c r="B31" s="56">
        <v>1073.24</v>
      </c>
      <c r="C31" s="57">
        <v>3096</v>
      </c>
      <c r="D31" s="57">
        <v>8987.68</v>
      </c>
      <c r="E31" s="57">
        <v>2244.9</v>
      </c>
      <c r="F31" s="58">
        <v>15401.82</v>
      </c>
    </row>
    <row r="32" spans="1:6" ht="12.5">
      <c r="A32" s="39" t="s">
        <v>793</v>
      </c>
      <c r="B32" s="59">
        <v>120025.48999999999</v>
      </c>
      <c r="C32" s="60">
        <v>78148.920000000013</v>
      </c>
      <c r="D32" s="60">
        <v>93875.140000000014</v>
      </c>
      <c r="E32" s="60">
        <v>72585.000000000015</v>
      </c>
      <c r="F32" s="61">
        <v>364634.55</v>
      </c>
    </row>
    <row r="36" spans="1:6" ht="16.5">
      <c r="A36" s="18" t="s">
        <v>397</v>
      </c>
    </row>
    <row r="37" spans="1:6" ht="13">
      <c r="A37" s="19" t="s">
        <v>401</v>
      </c>
    </row>
    <row r="38" spans="1:6" ht="12.5">
      <c r="A38" s="52" t="s">
        <v>402</v>
      </c>
      <c r="B38" s="43"/>
      <c r="C38" s="43"/>
      <c r="D38" s="43"/>
      <c r="E38" s="43"/>
      <c r="F38" s="43"/>
    </row>
    <row r="39" spans="1:6" ht="15.75" customHeight="1">
      <c r="A39" s="43"/>
      <c r="B39" s="43"/>
      <c r="C39" s="43"/>
      <c r="D39" s="43"/>
      <c r="E39" s="43"/>
      <c r="F39" s="43"/>
    </row>
    <row r="40" spans="1:6" ht="27.75" customHeight="1">
      <c r="A40" s="43"/>
      <c r="B40" s="43"/>
      <c r="C40" s="43"/>
      <c r="D40" s="43"/>
      <c r="E40" s="43"/>
      <c r="F40" s="43"/>
    </row>
    <row r="41" spans="1:6" ht="12.5">
      <c r="A41" s="20"/>
    </row>
    <row r="42" spans="1:6" ht="13">
      <c r="A42" s="21" t="s">
        <v>408</v>
      </c>
    </row>
    <row r="43" spans="1:6" ht="12.5">
      <c r="A43" s="52" t="s">
        <v>410</v>
      </c>
      <c r="B43" s="43"/>
      <c r="C43" s="43"/>
      <c r="D43" s="43"/>
      <c r="E43" s="43"/>
      <c r="F43" s="43"/>
    </row>
    <row r="44" spans="1:6" ht="15.75" customHeight="1">
      <c r="A44" s="43"/>
      <c r="B44" s="43"/>
      <c r="C44" s="43"/>
      <c r="D44" s="43"/>
      <c r="E44" s="43"/>
      <c r="F44" s="43"/>
    </row>
    <row r="45" spans="1:6" ht="15.75" customHeight="1">
      <c r="A45" s="43"/>
      <c r="B45" s="43"/>
      <c r="C45" s="43"/>
      <c r="D45" s="43"/>
      <c r="E45" s="43"/>
      <c r="F45" s="43"/>
    </row>
    <row r="46" spans="1:6" ht="15.75" customHeight="1">
      <c r="A46" s="43"/>
      <c r="B46" s="43"/>
      <c r="C46" s="43"/>
      <c r="D46" s="43"/>
      <c r="E46" s="43"/>
      <c r="F46" s="43"/>
    </row>
    <row r="47" spans="1:6" ht="15.75" customHeight="1">
      <c r="A47" s="43"/>
      <c r="B47" s="43"/>
      <c r="C47" s="43"/>
      <c r="D47" s="43"/>
      <c r="E47" s="43"/>
      <c r="F47" s="43"/>
    </row>
  </sheetData>
  <mergeCells count="2">
    <mergeCell ref="A38:F40"/>
    <mergeCell ref="A43:F47"/>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43"/>
  <sheetViews>
    <sheetView workbookViewId="0">
      <selection activeCell="C8" sqref="C8"/>
    </sheetView>
  </sheetViews>
  <sheetFormatPr baseColWidth="10" defaultColWidth="12.6328125" defaultRowHeight="15.75" customHeight="1"/>
  <cols>
    <col min="1" max="1" width="25.36328125" customWidth="1"/>
    <col min="2" max="2" width="31" customWidth="1"/>
    <col min="3" max="4" width="18.08984375" customWidth="1"/>
    <col min="5" max="5" width="30.26953125" customWidth="1"/>
    <col min="6" max="6" width="18.08984375" customWidth="1"/>
  </cols>
  <sheetData>
    <row r="1" spans="1:6" ht="15.75" customHeight="1">
      <c r="A1" s="67" t="s">
        <v>695</v>
      </c>
      <c r="B1" s="63"/>
      <c r="C1" s="11"/>
      <c r="F1" s="11"/>
    </row>
    <row r="2" spans="1:6" ht="13">
      <c r="A2" s="64" t="s">
        <v>699</v>
      </c>
      <c r="B2" s="68" t="s">
        <v>703</v>
      </c>
      <c r="E2" s="10"/>
    </row>
    <row r="3" spans="1:6" ht="15.75" customHeight="1">
      <c r="A3" s="65" t="s">
        <v>30</v>
      </c>
      <c r="B3" s="69">
        <v>37</v>
      </c>
    </row>
    <row r="4" spans="1:6" ht="15.75" customHeight="1">
      <c r="A4" s="65" t="s">
        <v>178</v>
      </c>
      <c r="B4" s="69">
        <v>28</v>
      </c>
    </row>
    <row r="5" spans="1:6" ht="15.75" customHeight="1">
      <c r="A5" s="65" t="s">
        <v>62</v>
      </c>
      <c r="B5" s="69">
        <v>23</v>
      </c>
    </row>
    <row r="6" spans="1:6" ht="15.75" customHeight="1">
      <c r="A6" s="65" t="s">
        <v>67</v>
      </c>
      <c r="B6" s="69">
        <v>23</v>
      </c>
    </row>
    <row r="7" spans="1:6" ht="15.75" customHeight="1">
      <c r="A7" s="65" t="s">
        <v>14</v>
      </c>
      <c r="B7" s="69">
        <v>22</v>
      </c>
    </row>
    <row r="8" spans="1:6" ht="15.75" customHeight="1">
      <c r="A8" s="65" t="s">
        <v>51</v>
      </c>
      <c r="B8" s="69">
        <v>21</v>
      </c>
    </row>
    <row r="9" spans="1:6" ht="15.75" customHeight="1">
      <c r="A9" s="65" t="s">
        <v>96</v>
      </c>
      <c r="B9" s="69">
        <v>18</v>
      </c>
    </row>
    <row r="10" spans="1:6" ht="15.75" customHeight="1">
      <c r="A10" s="65" t="s">
        <v>38</v>
      </c>
      <c r="B10" s="69">
        <v>17</v>
      </c>
    </row>
    <row r="11" spans="1:6" ht="15.75" customHeight="1">
      <c r="A11" s="65" t="s">
        <v>163</v>
      </c>
      <c r="B11" s="69">
        <v>17</v>
      </c>
    </row>
    <row r="12" spans="1:6" ht="15.75" customHeight="1">
      <c r="A12" s="65" t="s">
        <v>25</v>
      </c>
      <c r="B12" s="69">
        <v>16</v>
      </c>
    </row>
    <row r="13" spans="1:6" ht="15.75" customHeight="1">
      <c r="A13" s="65" t="s">
        <v>49</v>
      </c>
      <c r="B13" s="69">
        <v>15</v>
      </c>
    </row>
    <row r="14" spans="1:6" ht="15.75" customHeight="1">
      <c r="A14" s="65" t="s">
        <v>107</v>
      </c>
      <c r="B14" s="69">
        <v>13</v>
      </c>
    </row>
    <row r="17" spans="1:2" ht="15.75" customHeight="1">
      <c r="A17" s="62" t="s">
        <v>776</v>
      </c>
      <c r="B17" s="63"/>
    </row>
    <row r="18" spans="1:2" ht="13">
      <c r="A18" s="64" t="s">
        <v>699</v>
      </c>
      <c r="B18" s="64" t="s">
        <v>777</v>
      </c>
    </row>
    <row r="19" spans="1:2" ht="15.75" customHeight="1">
      <c r="A19" s="65" t="s">
        <v>14</v>
      </c>
      <c r="B19" s="66">
        <v>2944.3063636363599</v>
      </c>
    </row>
    <row r="20" spans="1:2" ht="15.75" customHeight="1">
      <c r="A20" s="65" t="s">
        <v>30</v>
      </c>
      <c r="B20" s="66">
        <v>2133.8370270270202</v>
      </c>
    </row>
    <row r="21" spans="1:2" ht="15.75" customHeight="1">
      <c r="A21" s="65" t="s">
        <v>62</v>
      </c>
      <c r="B21" s="66">
        <v>1784.8952173913001</v>
      </c>
    </row>
    <row r="22" spans="1:2" ht="15.75" customHeight="1">
      <c r="A22" s="65" t="s">
        <v>163</v>
      </c>
      <c r="B22" s="66">
        <v>1318.3658823529399</v>
      </c>
    </row>
    <row r="23" spans="1:2" ht="15.75" customHeight="1">
      <c r="A23" s="65" t="s">
        <v>96</v>
      </c>
      <c r="B23" s="66">
        <v>1251.88888888888</v>
      </c>
    </row>
    <row r="24" spans="1:2" ht="15.75" customHeight="1">
      <c r="A24" s="65" t="s">
        <v>178</v>
      </c>
      <c r="B24" s="66">
        <v>1209.68392857142</v>
      </c>
    </row>
    <row r="25" spans="1:2" ht="15.75" customHeight="1">
      <c r="A25" s="65" t="s">
        <v>38</v>
      </c>
      <c r="B25" s="66">
        <v>1190.4423529411699</v>
      </c>
    </row>
    <row r="26" spans="1:2" ht="15.75" customHeight="1">
      <c r="A26" s="65" t="s">
        <v>107</v>
      </c>
      <c r="B26" s="66">
        <v>1167.8930769230701</v>
      </c>
    </row>
    <row r="27" spans="1:2" ht="15.75" customHeight="1">
      <c r="A27" s="65" t="s">
        <v>67</v>
      </c>
      <c r="B27" s="66">
        <v>1074.3995652173901</v>
      </c>
    </row>
    <row r="28" spans="1:2" ht="15.75" customHeight="1">
      <c r="A28" s="65" t="s">
        <v>49</v>
      </c>
      <c r="B28" s="66">
        <v>1013.00933333333</v>
      </c>
    </row>
    <row r="29" spans="1:2" ht="15.75" customHeight="1">
      <c r="A29" s="65" t="s">
        <v>25</v>
      </c>
      <c r="B29" s="66">
        <v>962.61374999999896</v>
      </c>
    </row>
    <row r="30" spans="1:2" ht="15.75" customHeight="1">
      <c r="A30" s="65" t="s">
        <v>51</v>
      </c>
      <c r="B30" s="66">
        <v>490.933333333333</v>
      </c>
    </row>
    <row r="33" spans="1:2" ht="15.75" customHeight="1">
      <c r="A33" s="70" t="s">
        <v>780</v>
      </c>
      <c r="B33" s="63"/>
    </row>
    <row r="34" spans="1:2" ht="15.75" customHeight="1">
      <c r="A34" s="65" t="s">
        <v>14</v>
      </c>
      <c r="B34" s="66">
        <v>46616</v>
      </c>
    </row>
    <row r="35" spans="1:2" ht="15.75" customHeight="1">
      <c r="A35" s="65" t="s">
        <v>62</v>
      </c>
      <c r="B35" s="66">
        <v>24064.6</v>
      </c>
    </row>
    <row r="36" spans="1:2" ht="15.75" customHeight="1">
      <c r="A36" s="65" t="s">
        <v>30</v>
      </c>
      <c r="B36" s="66">
        <v>23615.200000000001</v>
      </c>
    </row>
    <row r="37" spans="1:2" ht="15.75" customHeight="1">
      <c r="A37" s="65" t="s">
        <v>30</v>
      </c>
      <c r="B37" s="66">
        <v>20087.400000000001</v>
      </c>
    </row>
    <row r="38" spans="1:2" ht="15.75" customHeight="1">
      <c r="A38" s="65" t="s">
        <v>67</v>
      </c>
      <c r="B38" s="66">
        <v>13307.5</v>
      </c>
    </row>
    <row r="39" spans="1:2" ht="15.75" customHeight="1">
      <c r="A39" s="65" t="s">
        <v>178</v>
      </c>
      <c r="B39" s="66">
        <v>11180.7</v>
      </c>
    </row>
    <row r="40" spans="1:2" ht="15.75" customHeight="1">
      <c r="A40" s="65" t="s">
        <v>178</v>
      </c>
      <c r="B40" s="66">
        <v>10735.5</v>
      </c>
    </row>
    <row r="41" spans="1:2" ht="15.75" customHeight="1">
      <c r="A41" s="65" t="s">
        <v>14</v>
      </c>
      <c r="B41" s="66">
        <v>10075.5</v>
      </c>
    </row>
    <row r="42" spans="1:2" ht="15.75" customHeight="1">
      <c r="A42" s="65" t="s">
        <v>30</v>
      </c>
      <c r="B42" s="66">
        <v>9870.6</v>
      </c>
    </row>
    <row r="43" spans="1:2" ht="15.75" customHeight="1">
      <c r="A43" s="65" t="s">
        <v>38</v>
      </c>
      <c r="B43" s="66">
        <v>9741.7999999999993</v>
      </c>
    </row>
  </sheetData>
  <mergeCells count="3">
    <mergeCell ref="A1:B1"/>
    <mergeCell ref="A17:B17"/>
    <mergeCell ref="A33:B3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C14:I146"/>
  <sheetViews>
    <sheetView topLeftCell="A106" workbookViewId="0">
      <selection activeCell="M138" sqref="M138"/>
    </sheetView>
  </sheetViews>
  <sheetFormatPr baseColWidth="10" defaultColWidth="12.6328125" defaultRowHeight="15.75" customHeight="1"/>
  <sheetData>
    <row r="14" spans="9:9" ht="15.75" customHeight="1">
      <c r="I14" s="30"/>
    </row>
    <row r="146" spans="3:3" ht="12.5">
      <c r="C146" s="31"/>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P84"/>
  <sheetViews>
    <sheetView workbookViewId="0">
      <selection activeCell="R79" sqref="R79"/>
    </sheetView>
  </sheetViews>
  <sheetFormatPr baseColWidth="10" defaultColWidth="12.6328125" defaultRowHeight="15.75" customHeight="1"/>
  <sheetData>
    <row r="1" spans="1:16" ht="15.75" customHeight="1">
      <c r="A1" s="72" t="s">
        <v>791</v>
      </c>
      <c r="B1" s="73"/>
      <c r="C1" s="73"/>
      <c r="D1" s="73"/>
      <c r="E1" s="73"/>
      <c r="F1" s="73"/>
      <c r="G1" s="73"/>
      <c r="H1" s="73"/>
      <c r="I1" s="73"/>
      <c r="J1" s="73"/>
      <c r="K1" s="73"/>
      <c r="L1" s="73"/>
      <c r="M1" s="73"/>
      <c r="N1" s="73"/>
      <c r="O1" s="73"/>
      <c r="P1" s="71"/>
    </row>
    <row r="2" spans="1:16" ht="15.75" customHeight="1">
      <c r="A2" s="73"/>
      <c r="B2" s="73"/>
      <c r="C2" s="73"/>
      <c r="D2" s="73"/>
      <c r="E2" s="73"/>
      <c r="F2" s="73"/>
      <c r="G2" s="73"/>
      <c r="H2" s="73"/>
      <c r="I2" s="73"/>
      <c r="J2" s="73"/>
      <c r="K2" s="73"/>
      <c r="L2" s="73"/>
      <c r="M2" s="73"/>
      <c r="N2" s="73"/>
      <c r="O2" s="73"/>
      <c r="P2" s="71"/>
    </row>
    <row r="3" spans="1:16" ht="15.75" customHeight="1">
      <c r="A3" s="73"/>
      <c r="B3" s="73"/>
      <c r="C3" s="73"/>
      <c r="D3" s="73"/>
      <c r="E3" s="73"/>
      <c r="F3" s="73"/>
      <c r="G3" s="73"/>
      <c r="H3" s="73"/>
      <c r="I3" s="73"/>
      <c r="J3" s="73"/>
      <c r="K3" s="73"/>
      <c r="L3" s="73"/>
      <c r="M3" s="73"/>
      <c r="N3" s="73"/>
      <c r="O3" s="73"/>
      <c r="P3" s="71"/>
    </row>
    <row r="4" spans="1:16" ht="15.75" customHeight="1">
      <c r="A4" s="73"/>
      <c r="B4" s="73"/>
      <c r="C4" s="73"/>
      <c r="D4" s="73"/>
      <c r="E4" s="73"/>
      <c r="F4" s="73"/>
      <c r="G4" s="73"/>
      <c r="H4" s="73"/>
      <c r="I4" s="73"/>
      <c r="J4" s="73"/>
      <c r="K4" s="73"/>
      <c r="L4" s="73"/>
      <c r="M4" s="73"/>
      <c r="N4" s="73"/>
      <c r="O4" s="73"/>
      <c r="P4" s="71"/>
    </row>
    <row r="5" spans="1:16" ht="15.75" customHeight="1">
      <c r="A5" s="73"/>
      <c r="B5" s="73"/>
      <c r="C5" s="73"/>
      <c r="D5" s="73"/>
      <c r="E5" s="73"/>
      <c r="F5" s="73"/>
      <c r="G5" s="73"/>
      <c r="H5" s="73"/>
      <c r="I5" s="73"/>
      <c r="J5" s="73"/>
      <c r="K5" s="73"/>
      <c r="L5" s="73"/>
      <c r="M5" s="73"/>
      <c r="N5" s="73"/>
      <c r="O5" s="73"/>
      <c r="P5" s="71"/>
    </row>
    <row r="6" spans="1:16" ht="15.75" customHeight="1">
      <c r="A6" s="73"/>
      <c r="B6" s="73"/>
      <c r="C6" s="73"/>
      <c r="D6" s="73"/>
      <c r="E6" s="73"/>
      <c r="F6" s="73"/>
      <c r="G6" s="73"/>
      <c r="H6" s="73"/>
      <c r="I6" s="73"/>
      <c r="J6" s="73"/>
      <c r="K6" s="73"/>
      <c r="L6" s="73"/>
      <c r="M6" s="73"/>
      <c r="N6" s="73"/>
      <c r="O6" s="73"/>
      <c r="P6" s="71"/>
    </row>
    <row r="7" spans="1:16" ht="15.75" customHeight="1">
      <c r="A7" s="73"/>
      <c r="B7" s="73"/>
      <c r="C7" s="73"/>
      <c r="D7" s="73"/>
      <c r="E7" s="73"/>
      <c r="F7" s="73"/>
      <c r="G7" s="73"/>
      <c r="H7" s="73"/>
      <c r="I7" s="73"/>
      <c r="J7" s="73"/>
      <c r="K7" s="73"/>
      <c r="L7" s="73"/>
      <c r="M7" s="73"/>
      <c r="N7" s="73"/>
      <c r="O7" s="73"/>
      <c r="P7" s="71"/>
    </row>
    <row r="8" spans="1:16" ht="15.75" customHeight="1">
      <c r="A8" s="73"/>
      <c r="B8" s="73"/>
      <c r="C8" s="73"/>
      <c r="D8" s="73"/>
      <c r="E8" s="73"/>
      <c r="F8" s="73"/>
      <c r="G8" s="73"/>
      <c r="H8" s="73"/>
      <c r="I8" s="73"/>
      <c r="J8" s="73"/>
      <c r="K8" s="73"/>
      <c r="L8" s="73"/>
      <c r="M8" s="73"/>
      <c r="N8" s="73"/>
      <c r="O8" s="73"/>
      <c r="P8" s="71"/>
    </row>
    <row r="9" spans="1:16" ht="15.75" customHeight="1">
      <c r="A9" s="73"/>
      <c r="B9" s="73"/>
      <c r="C9" s="73"/>
      <c r="D9" s="73"/>
      <c r="E9" s="73"/>
      <c r="F9" s="73"/>
      <c r="G9" s="73"/>
      <c r="H9" s="73"/>
      <c r="I9" s="73"/>
      <c r="J9" s="73"/>
      <c r="K9" s="73"/>
      <c r="L9" s="73"/>
      <c r="M9" s="73"/>
      <c r="N9" s="73"/>
      <c r="O9" s="73"/>
      <c r="P9" s="71"/>
    </row>
    <row r="10" spans="1:16" ht="15.75" customHeight="1">
      <c r="A10" s="73"/>
      <c r="B10" s="73"/>
      <c r="C10" s="73"/>
      <c r="D10" s="73"/>
      <c r="E10" s="73"/>
      <c r="F10" s="73"/>
      <c r="G10" s="73"/>
      <c r="H10" s="73"/>
      <c r="I10" s="73"/>
      <c r="J10" s="73"/>
      <c r="K10" s="73"/>
      <c r="L10" s="73"/>
      <c r="M10" s="73"/>
      <c r="N10" s="73"/>
      <c r="O10" s="73"/>
      <c r="P10" s="71"/>
    </row>
    <row r="11" spans="1:16" ht="15.75" customHeight="1">
      <c r="A11" s="73"/>
      <c r="B11" s="73"/>
      <c r="C11" s="73"/>
      <c r="D11" s="73"/>
      <c r="E11" s="73"/>
      <c r="F11" s="73"/>
      <c r="G11" s="73"/>
      <c r="H11" s="73"/>
      <c r="I11" s="73"/>
      <c r="J11" s="73"/>
      <c r="K11" s="73"/>
      <c r="L11" s="73"/>
      <c r="M11" s="73"/>
      <c r="N11" s="73"/>
      <c r="O11" s="73"/>
      <c r="P11" s="71"/>
    </row>
    <row r="12" spans="1:16" ht="15.75" customHeight="1">
      <c r="A12" s="73"/>
      <c r="B12" s="73"/>
      <c r="C12" s="73"/>
      <c r="D12" s="73"/>
      <c r="E12" s="73"/>
      <c r="F12" s="73"/>
      <c r="G12" s="73"/>
      <c r="H12" s="73"/>
      <c r="I12" s="73"/>
      <c r="J12" s="73"/>
      <c r="K12" s="73"/>
      <c r="L12" s="73"/>
      <c r="M12" s="73"/>
      <c r="N12" s="73"/>
      <c r="O12" s="73"/>
      <c r="P12" s="71"/>
    </row>
    <row r="13" spans="1:16" ht="15.75" customHeight="1">
      <c r="A13" s="73"/>
      <c r="B13" s="73"/>
      <c r="C13" s="73"/>
      <c r="D13" s="73"/>
      <c r="E13" s="73"/>
      <c r="F13" s="73"/>
      <c r="G13" s="73"/>
      <c r="H13" s="73"/>
      <c r="I13" s="73"/>
      <c r="J13" s="73"/>
      <c r="K13" s="73"/>
      <c r="L13" s="73"/>
      <c r="M13" s="73"/>
      <c r="N13" s="73"/>
      <c r="O13" s="73"/>
      <c r="P13" s="71"/>
    </row>
    <row r="14" spans="1:16" ht="15.75" customHeight="1">
      <c r="A14" s="73"/>
      <c r="B14" s="73"/>
      <c r="C14" s="73"/>
      <c r="D14" s="73"/>
      <c r="E14" s="73"/>
      <c r="F14" s="73"/>
      <c r="G14" s="73"/>
      <c r="H14" s="73"/>
      <c r="I14" s="73"/>
      <c r="J14" s="73"/>
      <c r="K14" s="73"/>
      <c r="L14" s="73"/>
      <c r="M14" s="73"/>
      <c r="N14" s="73"/>
      <c r="O14" s="73"/>
      <c r="P14" s="71"/>
    </row>
    <row r="15" spans="1:16" ht="15.75" customHeight="1">
      <c r="A15" s="73"/>
      <c r="B15" s="73"/>
      <c r="C15" s="73"/>
      <c r="D15" s="73"/>
      <c r="E15" s="73"/>
      <c r="F15" s="73"/>
      <c r="G15" s="73"/>
      <c r="H15" s="73"/>
      <c r="I15" s="73"/>
      <c r="J15" s="73"/>
      <c r="K15" s="73"/>
      <c r="L15" s="73"/>
      <c r="M15" s="73"/>
      <c r="N15" s="73"/>
      <c r="O15" s="73"/>
      <c r="P15" s="71"/>
    </row>
    <row r="16" spans="1:16" ht="15.75" customHeight="1">
      <c r="A16" s="73"/>
      <c r="B16" s="73"/>
      <c r="C16" s="73"/>
      <c r="D16" s="73"/>
      <c r="E16" s="73"/>
      <c r="F16" s="73"/>
      <c r="G16" s="73"/>
      <c r="H16" s="73"/>
      <c r="I16" s="73"/>
      <c r="J16" s="73"/>
      <c r="K16" s="73"/>
      <c r="L16" s="73"/>
      <c r="M16" s="73"/>
      <c r="N16" s="73"/>
      <c r="O16" s="73"/>
      <c r="P16" s="71"/>
    </row>
    <row r="17" spans="1:16" ht="15.75" customHeight="1">
      <c r="A17" s="73"/>
      <c r="B17" s="73"/>
      <c r="C17" s="73"/>
      <c r="D17" s="73"/>
      <c r="E17" s="73"/>
      <c r="F17" s="73"/>
      <c r="G17" s="73"/>
      <c r="H17" s="73"/>
      <c r="I17" s="73"/>
      <c r="J17" s="73"/>
      <c r="K17" s="73"/>
      <c r="L17" s="73"/>
      <c r="M17" s="73"/>
      <c r="N17" s="73"/>
      <c r="O17" s="73"/>
      <c r="P17" s="71"/>
    </row>
    <row r="18" spans="1:16" ht="15.75" customHeight="1">
      <c r="A18" s="73"/>
      <c r="B18" s="73"/>
      <c r="C18" s="73"/>
      <c r="D18" s="73"/>
      <c r="E18" s="73"/>
      <c r="F18" s="73"/>
      <c r="G18" s="73"/>
      <c r="H18" s="73"/>
      <c r="I18" s="73"/>
      <c r="J18" s="73"/>
      <c r="K18" s="73"/>
      <c r="L18" s="73"/>
      <c r="M18" s="73"/>
      <c r="N18" s="73"/>
      <c r="O18" s="73"/>
      <c r="P18" s="71"/>
    </row>
    <row r="19" spans="1:16" ht="15.75" customHeight="1">
      <c r="A19" s="73"/>
      <c r="B19" s="73"/>
      <c r="C19" s="73"/>
      <c r="D19" s="73"/>
      <c r="E19" s="73"/>
      <c r="F19" s="73"/>
      <c r="G19" s="73"/>
      <c r="H19" s="73"/>
      <c r="I19" s="73"/>
      <c r="J19" s="73"/>
      <c r="K19" s="73"/>
      <c r="L19" s="73"/>
      <c r="M19" s="73"/>
      <c r="N19" s="73"/>
      <c r="O19" s="73"/>
      <c r="P19" s="71"/>
    </row>
    <row r="20" spans="1:16" ht="15.75" customHeight="1">
      <c r="A20" s="73"/>
      <c r="B20" s="73"/>
      <c r="C20" s="73"/>
      <c r="D20" s="73"/>
      <c r="E20" s="73"/>
      <c r="F20" s="73"/>
      <c r="G20" s="73"/>
      <c r="H20" s="73"/>
      <c r="I20" s="73"/>
      <c r="J20" s="73"/>
      <c r="K20" s="73"/>
      <c r="L20" s="73"/>
      <c r="M20" s="73"/>
      <c r="N20" s="73"/>
      <c r="O20" s="73"/>
      <c r="P20" s="71"/>
    </row>
    <row r="21" spans="1:16" ht="15.75" customHeight="1">
      <c r="A21" s="73"/>
      <c r="B21" s="73"/>
      <c r="C21" s="73"/>
      <c r="D21" s="73"/>
      <c r="E21" s="73"/>
      <c r="F21" s="73"/>
      <c r="G21" s="73"/>
      <c r="H21" s="73"/>
      <c r="I21" s="73"/>
      <c r="J21" s="73"/>
      <c r="K21" s="73"/>
      <c r="L21" s="73"/>
      <c r="M21" s="73"/>
      <c r="N21" s="73"/>
      <c r="O21" s="73"/>
      <c r="P21" s="71"/>
    </row>
    <row r="22" spans="1:16" ht="15.75" customHeight="1">
      <c r="A22" s="73"/>
      <c r="B22" s="73"/>
      <c r="C22" s="73"/>
      <c r="D22" s="73"/>
      <c r="E22" s="73"/>
      <c r="F22" s="73"/>
      <c r="G22" s="73"/>
      <c r="H22" s="73"/>
      <c r="I22" s="73"/>
      <c r="J22" s="73"/>
      <c r="K22" s="73"/>
      <c r="L22" s="73"/>
      <c r="M22" s="73"/>
      <c r="N22" s="73"/>
      <c r="O22" s="73"/>
      <c r="P22" s="71"/>
    </row>
    <row r="23" spans="1:16" ht="15.75" customHeight="1">
      <c r="A23" s="73"/>
      <c r="B23" s="73"/>
      <c r="C23" s="73"/>
      <c r="D23" s="73"/>
      <c r="E23" s="73"/>
      <c r="F23" s="73"/>
      <c r="G23" s="73"/>
      <c r="H23" s="73"/>
      <c r="I23" s="73"/>
      <c r="J23" s="73"/>
      <c r="K23" s="73"/>
      <c r="L23" s="73"/>
      <c r="M23" s="73"/>
      <c r="N23" s="73"/>
      <c r="O23" s="73"/>
      <c r="P23" s="71"/>
    </row>
    <row r="24" spans="1:16" ht="15.75" customHeight="1">
      <c r="A24" s="73"/>
      <c r="B24" s="73"/>
      <c r="C24" s="73"/>
      <c r="D24" s="73"/>
      <c r="E24" s="73"/>
      <c r="F24" s="73"/>
      <c r="G24" s="73"/>
      <c r="H24" s="73"/>
      <c r="I24" s="73"/>
      <c r="J24" s="73"/>
      <c r="K24" s="73"/>
      <c r="L24" s="73"/>
      <c r="M24" s="73"/>
      <c r="N24" s="73"/>
      <c r="O24" s="73"/>
      <c r="P24" s="71"/>
    </row>
    <row r="25" spans="1:16" ht="15.75" customHeight="1">
      <c r="A25" s="73"/>
      <c r="B25" s="73"/>
      <c r="C25" s="73"/>
      <c r="D25" s="73"/>
      <c r="E25" s="73"/>
      <c r="F25" s="73"/>
      <c r="G25" s="73"/>
      <c r="H25" s="73"/>
      <c r="I25" s="73"/>
      <c r="J25" s="73"/>
      <c r="K25" s="73"/>
      <c r="L25" s="73"/>
      <c r="M25" s="73"/>
      <c r="N25" s="73"/>
      <c r="O25" s="73"/>
      <c r="P25" s="71"/>
    </row>
    <row r="26" spans="1:16" ht="15.75" customHeight="1">
      <c r="A26" s="73"/>
      <c r="B26" s="73"/>
      <c r="C26" s="73"/>
      <c r="D26" s="73"/>
      <c r="E26" s="73"/>
      <c r="F26" s="73"/>
      <c r="G26" s="73"/>
      <c r="H26" s="73"/>
      <c r="I26" s="73"/>
      <c r="J26" s="73"/>
      <c r="K26" s="73"/>
      <c r="L26" s="73"/>
      <c r="M26" s="73"/>
      <c r="N26" s="73"/>
      <c r="O26" s="73"/>
      <c r="P26" s="71"/>
    </row>
    <row r="27" spans="1:16" ht="15.75" customHeight="1">
      <c r="A27" s="73"/>
      <c r="B27" s="73"/>
      <c r="C27" s="73"/>
      <c r="D27" s="73"/>
      <c r="E27" s="73"/>
      <c r="F27" s="73"/>
      <c r="G27" s="73"/>
      <c r="H27" s="73"/>
      <c r="I27" s="73"/>
      <c r="J27" s="73"/>
      <c r="K27" s="73"/>
      <c r="L27" s="73"/>
      <c r="M27" s="73"/>
      <c r="N27" s="73"/>
      <c r="O27" s="73"/>
      <c r="P27" s="71"/>
    </row>
    <row r="28" spans="1:16" ht="15.75" customHeight="1">
      <c r="A28" s="73"/>
      <c r="B28" s="73"/>
      <c r="C28" s="73"/>
      <c r="D28" s="73"/>
      <c r="E28" s="73"/>
      <c r="F28" s="73"/>
      <c r="G28" s="73"/>
      <c r="H28" s="73"/>
      <c r="I28" s="73"/>
      <c r="J28" s="73"/>
      <c r="K28" s="73"/>
      <c r="L28" s="73"/>
      <c r="M28" s="73"/>
      <c r="N28" s="73"/>
      <c r="O28" s="73"/>
      <c r="P28" s="71"/>
    </row>
    <row r="29" spans="1:16" ht="15.75" customHeight="1">
      <c r="A29" s="73"/>
      <c r="B29" s="73"/>
      <c r="C29" s="73"/>
      <c r="D29" s="73"/>
      <c r="E29" s="73"/>
      <c r="F29" s="73"/>
      <c r="G29" s="73"/>
      <c r="H29" s="73"/>
      <c r="I29" s="73"/>
      <c r="J29" s="73"/>
      <c r="K29" s="73"/>
      <c r="L29" s="73"/>
      <c r="M29" s="73"/>
      <c r="N29" s="73"/>
      <c r="O29" s="73"/>
      <c r="P29" s="71"/>
    </row>
    <row r="30" spans="1:16" ht="15.75" customHeight="1">
      <c r="A30" s="73"/>
      <c r="B30" s="73"/>
      <c r="C30" s="73"/>
      <c r="D30" s="73"/>
      <c r="E30" s="73"/>
      <c r="F30" s="73"/>
      <c r="G30" s="73"/>
      <c r="H30" s="73"/>
      <c r="I30" s="73"/>
      <c r="J30" s="73"/>
      <c r="K30" s="73"/>
      <c r="L30" s="73"/>
      <c r="M30" s="73"/>
      <c r="N30" s="73"/>
      <c r="O30" s="73"/>
      <c r="P30" s="71"/>
    </row>
    <row r="31" spans="1:16" ht="15.75" customHeight="1">
      <c r="A31" s="73"/>
      <c r="B31" s="73"/>
      <c r="C31" s="73"/>
      <c r="D31" s="73"/>
      <c r="E31" s="73"/>
      <c r="F31" s="73"/>
      <c r="G31" s="73"/>
      <c r="H31" s="73"/>
      <c r="I31" s="73"/>
      <c r="J31" s="73"/>
      <c r="K31" s="73"/>
      <c r="L31" s="73"/>
      <c r="M31" s="73"/>
      <c r="N31" s="73"/>
      <c r="O31" s="73"/>
      <c r="P31" s="71"/>
    </row>
    <row r="32" spans="1:16" ht="15.75" customHeight="1">
      <c r="A32" s="73"/>
      <c r="B32" s="73"/>
      <c r="C32" s="73"/>
      <c r="D32" s="73"/>
      <c r="E32" s="73"/>
      <c r="F32" s="73"/>
      <c r="G32" s="73"/>
      <c r="H32" s="73"/>
      <c r="I32" s="73"/>
      <c r="J32" s="73"/>
      <c r="K32" s="73"/>
      <c r="L32" s="73"/>
      <c r="M32" s="73"/>
      <c r="N32" s="73"/>
      <c r="O32" s="73"/>
      <c r="P32" s="71"/>
    </row>
    <row r="33" spans="1:16" ht="15.75" customHeight="1">
      <c r="A33" s="73"/>
      <c r="B33" s="73"/>
      <c r="C33" s="73"/>
      <c r="D33" s="73"/>
      <c r="E33" s="73"/>
      <c r="F33" s="73"/>
      <c r="G33" s="73"/>
      <c r="H33" s="73"/>
      <c r="I33" s="73"/>
      <c r="J33" s="73"/>
      <c r="K33" s="73"/>
      <c r="L33" s="73"/>
      <c r="M33" s="73"/>
      <c r="N33" s="73"/>
      <c r="O33" s="73"/>
      <c r="P33" s="71"/>
    </row>
    <row r="34" spans="1:16" ht="15.75" customHeight="1">
      <c r="A34" s="73"/>
      <c r="B34" s="73"/>
      <c r="C34" s="73"/>
      <c r="D34" s="73"/>
      <c r="E34" s="73"/>
      <c r="F34" s="73"/>
      <c r="G34" s="73"/>
      <c r="H34" s="73"/>
      <c r="I34" s="73"/>
      <c r="J34" s="73"/>
      <c r="K34" s="73"/>
      <c r="L34" s="73"/>
      <c r="M34" s="73"/>
      <c r="N34" s="73"/>
      <c r="O34" s="73"/>
      <c r="P34" s="71"/>
    </row>
    <row r="35" spans="1:16" ht="15.75" customHeight="1">
      <c r="A35" s="73"/>
      <c r="B35" s="73"/>
      <c r="C35" s="73"/>
      <c r="D35" s="73"/>
      <c r="E35" s="73"/>
      <c r="F35" s="73"/>
      <c r="G35" s="73"/>
      <c r="H35" s="73"/>
      <c r="I35" s="73"/>
      <c r="J35" s="73"/>
      <c r="K35" s="73"/>
      <c r="L35" s="73"/>
      <c r="M35" s="73"/>
      <c r="N35" s="73"/>
      <c r="O35" s="73"/>
      <c r="P35" s="71"/>
    </row>
    <row r="36" spans="1:16" ht="15.75" customHeight="1">
      <c r="A36" s="73"/>
      <c r="B36" s="73"/>
      <c r="C36" s="73"/>
      <c r="D36" s="73"/>
      <c r="E36" s="73"/>
      <c r="F36" s="73"/>
      <c r="G36" s="73"/>
      <c r="H36" s="73"/>
      <c r="I36" s="73"/>
      <c r="J36" s="73"/>
      <c r="K36" s="73"/>
      <c r="L36" s="73"/>
      <c r="M36" s="73"/>
      <c r="N36" s="73"/>
      <c r="O36" s="73"/>
      <c r="P36" s="71"/>
    </row>
    <row r="37" spans="1:16" ht="15.75" customHeight="1">
      <c r="A37" s="73"/>
      <c r="B37" s="73"/>
      <c r="C37" s="73"/>
      <c r="D37" s="73"/>
      <c r="E37" s="73"/>
      <c r="F37" s="73"/>
      <c r="G37" s="73"/>
      <c r="H37" s="73"/>
      <c r="I37" s="73"/>
      <c r="J37" s="73"/>
      <c r="K37" s="73"/>
      <c r="L37" s="73"/>
      <c r="M37" s="73"/>
      <c r="N37" s="73"/>
      <c r="O37" s="73"/>
      <c r="P37" s="71"/>
    </row>
    <row r="38" spans="1:16" ht="15.75" customHeight="1">
      <c r="A38" s="73"/>
      <c r="B38" s="73"/>
      <c r="C38" s="73"/>
      <c r="D38" s="73"/>
      <c r="E38" s="73"/>
      <c r="F38" s="73"/>
      <c r="G38" s="73"/>
      <c r="H38" s="73"/>
      <c r="I38" s="73"/>
      <c r="J38" s="73"/>
      <c r="K38" s="73"/>
      <c r="L38" s="73"/>
      <c r="M38" s="73"/>
      <c r="N38" s="73"/>
      <c r="O38" s="73"/>
      <c r="P38" s="71"/>
    </row>
    <row r="39" spans="1:16" ht="15.75" customHeight="1">
      <c r="A39" s="73"/>
      <c r="B39" s="73"/>
      <c r="C39" s="73"/>
      <c r="D39" s="73"/>
      <c r="E39" s="73"/>
      <c r="F39" s="73"/>
      <c r="G39" s="73"/>
      <c r="H39" s="73"/>
      <c r="I39" s="73"/>
      <c r="J39" s="73"/>
      <c r="K39" s="73"/>
      <c r="L39" s="73"/>
      <c r="M39" s="73"/>
      <c r="N39" s="73"/>
      <c r="O39" s="73"/>
      <c r="P39" s="71"/>
    </row>
    <row r="40" spans="1:16" ht="15.75" customHeight="1">
      <c r="A40" s="73"/>
      <c r="B40" s="73"/>
      <c r="C40" s="73"/>
      <c r="D40" s="73"/>
      <c r="E40" s="73"/>
      <c r="F40" s="73"/>
      <c r="G40" s="73"/>
      <c r="H40" s="73"/>
      <c r="I40" s="73"/>
      <c r="J40" s="73"/>
      <c r="K40" s="73"/>
      <c r="L40" s="73"/>
      <c r="M40" s="73"/>
      <c r="N40" s="73"/>
      <c r="O40" s="73"/>
      <c r="P40" s="71"/>
    </row>
    <row r="41" spans="1:16" ht="15.75" customHeight="1">
      <c r="A41" s="73"/>
      <c r="B41" s="73"/>
      <c r="C41" s="73"/>
      <c r="D41" s="73"/>
      <c r="E41" s="73"/>
      <c r="F41" s="73"/>
      <c r="G41" s="73"/>
      <c r="H41" s="73"/>
      <c r="I41" s="73"/>
      <c r="J41" s="73"/>
      <c r="K41" s="73"/>
      <c r="L41" s="73"/>
      <c r="M41" s="73"/>
      <c r="N41" s="73"/>
      <c r="O41" s="73"/>
      <c r="P41" s="71"/>
    </row>
    <row r="42" spans="1:16" ht="15.75" customHeight="1">
      <c r="A42" s="73"/>
      <c r="B42" s="73"/>
      <c r="C42" s="73"/>
      <c r="D42" s="73"/>
      <c r="E42" s="73"/>
      <c r="F42" s="73"/>
      <c r="G42" s="73"/>
      <c r="H42" s="73"/>
      <c r="I42" s="73"/>
      <c r="J42" s="73"/>
      <c r="K42" s="73"/>
      <c r="L42" s="73"/>
      <c r="M42" s="73"/>
      <c r="N42" s="73"/>
      <c r="O42" s="73"/>
      <c r="P42" s="71"/>
    </row>
    <row r="43" spans="1:16" ht="15.75" customHeight="1">
      <c r="A43" s="73"/>
      <c r="B43" s="73"/>
      <c r="C43" s="73"/>
      <c r="D43" s="73"/>
      <c r="E43" s="73"/>
      <c r="F43" s="73"/>
      <c r="G43" s="73"/>
      <c r="H43" s="73"/>
      <c r="I43" s="73"/>
      <c r="J43" s="73"/>
      <c r="K43" s="73"/>
      <c r="L43" s="73"/>
      <c r="M43" s="73"/>
      <c r="N43" s="73"/>
      <c r="O43" s="73"/>
      <c r="P43" s="71"/>
    </row>
    <row r="44" spans="1:16" ht="15.75" customHeight="1">
      <c r="A44" s="73"/>
      <c r="B44" s="73"/>
      <c r="C44" s="73"/>
      <c r="D44" s="73"/>
      <c r="E44" s="73"/>
      <c r="F44" s="73"/>
      <c r="G44" s="73"/>
      <c r="H44" s="73"/>
      <c r="I44" s="73"/>
      <c r="J44" s="73"/>
      <c r="K44" s="73"/>
      <c r="L44" s="73"/>
      <c r="M44" s="73"/>
      <c r="N44" s="73"/>
      <c r="O44" s="73"/>
      <c r="P44" s="71"/>
    </row>
    <row r="45" spans="1:16" ht="15.75" customHeight="1">
      <c r="A45" s="73"/>
      <c r="B45" s="73"/>
      <c r="C45" s="73"/>
      <c r="D45" s="73"/>
      <c r="E45" s="73"/>
      <c r="F45" s="73"/>
      <c r="G45" s="73"/>
      <c r="H45" s="73"/>
      <c r="I45" s="73"/>
      <c r="J45" s="73"/>
      <c r="K45" s="73"/>
      <c r="L45" s="73"/>
      <c r="M45" s="73"/>
      <c r="N45" s="73"/>
      <c r="O45" s="73"/>
      <c r="P45" s="71"/>
    </row>
    <row r="46" spans="1:16" ht="15.75" customHeight="1">
      <c r="A46" s="73"/>
      <c r="B46" s="73"/>
      <c r="C46" s="73"/>
      <c r="D46" s="73"/>
      <c r="E46" s="73"/>
      <c r="F46" s="73"/>
      <c r="G46" s="73"/>
      <c r="H46" s="73"/>
      <c r="I46" s="73"/>
      <c r="J46" s="73"/>
      <c r="K46" s="73"/>
      <c r="L46" s="73"/>
      <c r="M46" s="73"/>
      <c r="N46" s="73"/>
      <c r="O46" s="73"/>
    </row>
    <row r="47" spans="1:16" ht="15.75" customHeight="1">
      <c r="A47" s="73"/>
      <c r="B47" s="73"/>
      <c r="C47" s="73"/>
      <c r="D47" s="73"/>
      <c r="E47" s="73"/>
      <c r="F47" s="73"/>
      <c r="G47" s="73"/>
      <c r="H47" s="73"/>
      <c r="I47" s="73"/>
      <c r="J47" s="73"/>
      <c r="K47" s="73"/>
      <c r="L47" s="73"/>
      <c r="M47" s="73"/>
      <c r="N47" s="73"/>
      <c r="O47" s="73"/>
    </row>
    <row r="48" spans="1:16" ht="15.75" customHeight="1">
      <c r="A48" s="73"/>
      <c r="B48" s="73"/>
      <c r="C48" s="73"/>
      <c r="D48" s="73"/>
      <c r="E48" s="73"/>
      <c r="F48" s="73"/>
      <c r="G48" s="73"/>
      <c r="H48" s="73"/>
      <c r="I48" s="73"/>
      <c r="J48" s="73"/>
      <c r="K48" s="73"/>
      <c r="L48" s="73"/>
      <c r="M48" s="73"/>
      <c r="N48" s="73"/>
      <c r="O48" s="73"/>
    </row>
    <row r="49" spans="1:15" ht="15.75" customHeight="1">
      <c r="A49" s="73"/>
      <c r="B49" s="73"/>
      <c r="C49" s="73"/>
      <c r="D49" s="73"/>
      <c r="E49" s="73"/>
      <c r="F49" s="73"/>
      <c r="G49" s="73"/>
      <c r="H49" s="73"/>
      <c r="I49" s="73"/>
      <c r="J49" s="73"/>
      <c r="K49" s="73"/>
      <c r="L49" s="73"/>
      <c r="M49" s="73"/>
      <c r="N49" s="73"/>
      <c r="O49" s="73"/>
    </row>
    <row r="50" spans="1:15" ht="15.75" customHeight="1">
      <c r="A50" s="73"/>
      <c r="B50" s="73"/>
      <c r="C50" s="73"/>
      <c r="D50" s="73"/>
      <c r="E50" s="73"/>
      <c r="F50" s="73"/>
      <c r="G50" s="73"/>
      <c r="H50" s="73"/>
      <c r="I50" s="73"/>
      <c r="J50" s="73"/>
      <c r="K50" s="73"/>
      <c r="L50" s="73"/>
      <c r="M50" s="73"/>
      <c r="N50" s="73"/>
      <c r="O50" s="73"/>
    </row>
    <row r="51" spans="1:15" ht="15.75" customHeight="1">
      <c r="A51" s="73"/>
      <c r="B51" s="73"/>
      <c r="C51" s="73"/>
      <c r="D51" s="73"/>
      <c r="E51" s="73"/>
      <c r="F51" s="73"/>
      <c r="G51" s="73"/>
      <c r="H51" s="73"/>
      <c r="I51" s="73"/>
      <c r="J51" s="73"/>
      <c r="K51" s="73"/>
      <c r="L51" s="73"/>
      <c r="M51" s="73"/>
      <c r="N51" s="73"/>
      <c r="O51" s="73"/>
    </row>
    <row r="52" spans="1:15" ht="15.75" customHeight="1">
      <c r="A52" s="73"/>
      <c r="B52" s="73"/>
      <c r="C52" s="73"/>
      <c r="D52" s="73"/>
      <c r="E52" s="73"/>
      <c r="F52" s="73"/>
      <c r="G52" s="73"/>
      <c r="H52" s="73"/>
      <c r="I52" s="73"/>
      <c r="J52" s="73"/>
      <c r="K52" s="73"/>
      <c r="L52" s="73"/>
      <c r="M52" s="73"/>
      <c r="N52" s="73"/>
      <c r="O52" s="73"/>
    </row>
    <row r="53" spans="1:15" ht="15.75" customHeight="1">
      <c r="A53" s="73"/>
      <c r="B53" s="73"/>
      <c r="C53" s="73"/>
      <c r="D53" s="73"/>
      <c r="E53" s="73"/>
      <c r="F53" s="73"/>
      <c r="G53" s="73"/>
      <c r="H53" s="73"/>
      <c r="I53" s="73"/>
      <c r="J53" s="73"/>
      <c r="K53" s="73"/>
      <c r="L53" s="73"/>
      <c r="M53" s="73"/>
      <c r="N53" s="73"/>
      <c r="O53" s="73"/>
    </row>
    <row r="54" spans="1:15" ht="15.75" customHeight="1">
      <c r="A54" s="73"/>
      <c r="B54" s="73"/>
      <c r="C54" s="73"/>
      <c r="D54" s="73"/>
      <c r="E54" s="73"/>
      <c r="F54" s="73"/>
      <c r="G54" s="73"/>
      <c r="H54" s="73"/>
      <c r="I54" s="73"/>
      <c r="J54" s="73"/>
      <c r="K54" s="73"/>
      <c r="L54" s="73"/>
      <c r="M54" s="73"/>
      <c r="N54" s="73"/>
      <c r="O54" s="73"/>
    </row>
    <row r="55" spans="1:15" ht="15.75" customHeight="1">
      <c r="A55" s="73"/>
      <c r="B55" s="73"/>
      <c r="C55" s="73"/>
      <c r="D55" s="73"/>
      <c r="E55" s="73"/>
      <c r="F55" s="73"/>
      <c r="G55" s="73"/>
      <c r="H55" s="73"/>
      <c r="I55" s="73"/>
      <c r="J55" s="73"/>
      <c r="K55" s="73"/>
      <c r="L55" s="73"/>
      <c r="M55" s="73"/>
      <c r="N55" s="73"/>
      <c r="O55" s="73"/>
    </row>
    <row r="56" spans="1:15" ht="15.75" customHeight="1">
      <c r="A56" s="73"/>
      <c r="B56" s="73"/>
      <c r="C56" s="73"/>
      <c r="D56" s="73"/>
      <c r="E56" s="73"/>
      <c r="F56" s="73"/>
      <c r="G56" s="73"/>
      <c r="H56" s="73"/>
      <c r="I56" s="73"/>
      <c r="J56" s="73"/>
      <c r="K56" s="73"/>
      <c r="L56" s="73"/>
      <c r="M56" s="73"/>
      <c r="N56" s="73"/>
      <c r="O56" s="73"/>
    </row>
    <row r="57" spans="1:15" ht="15.75" customHeight="1">
      <c r="A57" s="73"/>
      <c r="B57" s="73"/>
      <c r="C57" s="73"/>
      <c r="D57" s="73"/>
      <c r="E57" s="73"/>
      <c r="F57" s="73"/>
      <c r="G57" s="73"/>
      <c r="H57" s="73"/>
      <c r="I57" s="73"/>
      <c r="J57" s="73"/>
      <c r="K57" s="73"/>
      <c r="L57" s="73"/>
      <c r="M57" s="73"/>
      <c r="N57" s="73"/>
      <c r="O57" s="73"/>
    </row>
    <row r="58" spans="1:15" ht="15.75" customHeight="1">
      <c r="A58" s="73"/>
      <c r="B58" s="73"/>
      <c r="C58" s="73"/>
      <c r="D58" s="73"/>
      <c r="E58" s="73"/>
      <c r="F58" s="73"/>
      <c r="G58" s="73"/>
      <c r="H58" s="73"/>
      <c r="I58" s="73"/>
      <c r="J58" s="73"/>
      <c r="K58" s="73"/>
      <c r="L58" s="73"/>
      <c r="M58" s="73"/>
      <c r="N58" s="73"/>
      <c r="O58" s="73"/>
    </row>
    <row r="59" spans="1:15" ht="15.75" customHeight="1">
      <c r="A59" s="73"/>
      <c r="B59" s="73"/>
      <c r="C59" s="73"/>
      <c r="D59" s="73"/>
      <c r="E59" s="73"/>
      <c r="F59" s="73"/>
      <c r="G59" s="73"/>
      <c r="H59" s="73"/>
      <c r="I59" s="73"/>
      <c r="J59" s="73"/>
      <c r="K59" s="73"/>
      <c r="L59" s="73"/>
      <c r="M59" s="73"/>
      <c r="N59" s="73"/>
      <c r="O59" s="73"/>
    </row>
    <row r="60" spans="1:15" ht="15.75" customHeight="1">
      <c r="A60" s="73"/>
      <c r="B60" s="73"/>
      <c r="C60" s="73"/>
      <c r="D60" s="73"/>
      <c r="E60" s="73"/>
      <c r="F60" s="73"/>
      <c r="G60" s="73"/>
      <c r="H60" s="73"/>
      <c r="I60" s="73"/>
      <c r="J60" s="73"/>
      <c r="K60" s="73"/>
      <c r="L60" s="73"/>
      <c r="M60" s="73"/>
      <c r="N60" s="73"/>
      <c r="O60" s="73"/>
    </row>
    <row r="61" spans="1:15" ht="15.75" customHeight="1">
      <c r="A61" s="73"/>
      <c r="B61" s="73"/>
      <c r="C61" s="73"/>
      <c r="D61" s="73"/>
      <c r="E61" s="73"/>
      <c r="F61" s="73"/>
      <c r="G61" s="73"/>
      <c r="H61" s="73"/>
      <c r="I61" s="73"/>
      <c r="J61" s="73"/>
      <c r="K61" s="73"/>
      <c r="L61" s="73"/>
      <c r="M61" s="73"/>
      <c r="N61" s="73"/>
      <c r="O61" s="73"/>
    </row>
    <row r="62" spans="1:15" ht="15.75" customHeight="1">
      <c r="A62" s="73"/>
      <c r="B62" s="73"/>
      <c r="C62" s="73"/>
      <c r="D62" s="73"/>
      <c r="E62" s="73"/>
      <c r="F62" s="73"/>
      <c r="G62" s="73"/>
      <c r="H62" s="73"/>
      <c r="I62" s="73"/>
      <c r="J62" s="73"/>
      <c r="K62" s="73"/>
      <c r="L62" s="73"/>
      <c r="M62" s="73"/>
      <c r="N62" s="73"/>
      <c r="O62" s="73"/>
    </row>
    <row r="63" spans="1:15" ht="15.75" customHeight="1">
      <c r="A63" s="73"/>
      <c r="B63" s="73"/>
      <c r="C63" s="73"/>
      <c r="D63" s="73"/>
      <c r="E63" s="73"/>
      <c r="F63" s="73"/>
      <c r="G63" s="73"/>
      <c r="H63" s="73"/>
      <c r="I63" s="73"/>
      <c r="J63" s="73"/>
      <c r="K63" s="73"/>
      <c r="L63" s="73"/>
      <c r="M63" s="73"/>
      <c r="N63" s="73"/>
      <c r="O63" s="73"/>
    </row>
    <row r="64" spans="1:15" ht="15.75" customHeight="1">
      <c r="A64" s="73"/>
      <c r="B64" s="73"/>
      <c r="C64" s="73"/>
      <c r="D64" s="73"/>
      <c r="E64" s="73"/>
      <c r="F64" s="73"/>
      <c r="G64" s="73"/>
      <c r="H64" s="73"/>
      <c r="I64" s="73"/>
      <c r="J64" s="73"/>
      <c r="K64" s="73"/>
      <c r="L64" s="73"/>
      <c r="M64" s="73"/>
      <c r="N64" s="73"/>
      <c r="O64" s="73"/>
    </row>
    <row r="65" spans="1:15" ht="15.75" customHeight="1">
      <c r="A65" s="73"/>
      <c r="B65" s="73"/>
      <c r="C65" s="73"/>
      <c r="D65" s="73"/>
      <c r="E65" s="73"/>
      <c r="F65" s="73"/>
      <c r="G65" s="73"/>
      <c r="H65" s="73"/>
      <c r="I65" s="73"/>
      <c r="J65" s="73"/>
      <c r="K65" s="73"/>
      <c r="L65" s="73"/>
      <c r="M65" s="73"/>
      <c r="N65" s="73"/>
      <c r="O65" s="73"/>
    </row>
    <row r="66" spans="1:15" ht="15.75" customHeight="1">
      <c r="A66" s="73"/>
      <c r="B66" s="73"/>
      <c r="C66" s="73"/>
      <c r="D66" s="73"/>
      <c r="E66" s="73"/>
      <c r="F66" s="73"/>
      <c r="G66" s="73"/>
      <c r="H66" s="73"/>
      <c r="I66" s="73"/>
      <c r="J66" s="73"/>
      <c r="K66" s="73"/>
      <c r="L66" s="73"/>
      <c r="M66" s="73"/>
      <c r="N66" s="73"/>
      <c r="O66" s="73"/>
    </row>
    <row r="67" spans="1:15" ht="15.75" customHeight="1">
      <c r="A67" s="73"/>
      <c r="B67" s="73"/>
      <c r="C67" s="73"/>
      <c r="D67" s="73"/>
      <c r="E67" s="73"/>
      <c r="F67" s="73"/>
      <c r="G67" s="73"/>
      <c r="H67" s="73"/>
      <c r="I67" s="73"/>
      <c r="J67" s="73"/>
      <c r="K67" s="73"/>
      <c r="L67" s="73"/>
      <c r="M67" s="73"/>
      <c r="N67" s="73"/>
      <c r="O67" s="73"/>
    </row>
    <row r="68" spans="1:15" ht="15.75" customHeight="1">
      <c r="A68" s="73"/>
      <c r="B68" s="73"/>
      <c r="C68" s="73"/>
      <c r="D68" s="73"/>
      <c r="E68" s="73"/>
      <c r="F68" s="73"/>
      <c r="G68" s="73"/>
      <c r="H68" s="73"/>
      <c r="I68" s="73"/>
      <c r="J68" s="73"/>
      <c r="K68" s="73"/>
      <c r="L68" s="73"/>
      <c r="M68" s="73"/>
      <c r="N68" s="73"/>
      <c r="O68" s="73"/>
    </row>
    <row r="69" spans="1:15" ht="15.75" customHeight="1">
      <c r="A69" s="73"/>
      <c r="B69" s="73"/>
      <c r="C69" s="73"/>
      <c r="D69" s="73"/>
      <c r="E69" s="73"/>
      <c r="F69" s="73"/>
      <c r="G69" s="73"/>
      <c r="H69" s="73"/>
      <c r="I69" s="73"/>
      <c r="J69" s="73"/>
      <c r="K69" s="73"/>
      <c r="L69" s="73"/>
      <c r="M69" s="73"/>
      <c r="N69" s="73"/>
      <c r="O69" s="73"/>
    </row>
    <row r="70" spans="1:15" ht="15.75" customHeight="1">
      <c r="A70" s="73"/>
      <c r="B70" s="73"/>
      <c r="C70" s="73"/>
      <c r="D70" s="73"/>
      <c r="E70" s="73"/>
      <c r="F70" s="73"/>
      <c r="G70" s="73"/>
      <c r="H70" s="73"/>
      <c r="I70" s="73"/>
      <c r="J70" s="73"/>
      <c r="K70" s="73"/>
      <c r="L70" s="73"/>
      <c r="M70" s="73"/>
      <c r="N70" s="73"/>
      <c r="O70" s="73"/>
    </row>
    <row r="71" spans="1:15" ht="15.75" customHeight="1">
      <c r="A71" s="73"/>
      <c r="B71" s="73"/>
      <c r="C71" s="73"/>
      <c r="D71" s="73"/>
      <c r="E71" s="73"/>
      <c r="F71" s="73"/>
      <c r="G71" s="73"/>
      <c r="H71" s="73"/>
      <c r="I71" s="73"/>
      <c r="J71" s="73"/>
      <c r="K71" s="73"/>
      <c r="L71" s="73"/>
      <c r="M71" s="73"/>
      <c r="N71" s="73"/>
      <c r="O71" s="73"/>
    </row>
    <row r="72" spans="1:15" ht="15.75" customHeight="1">
      <c r="A72" s="73"/>
      <c r="B72" s="73"/>
      <c r="C72" s="73"/>
      <c r="D72" s="73"/>
      <c r="E72" s="73"/>
      <c r="F72" s="73"/>
      <c r="G72" s="73"/>
      <c r="H72" s="73"/>
      <c r="I72" s="73"/>
      <c r="J72" s="73"/>
      <c r="K72" s="73"/>
      <c r="L72" s="73"/>
      <c r="M72" s="73"/>
      <c r="N72" s="73"/>
      <c r="O72" s="73"/>
    </row>
    <row r="73" spans="1:15" ht="15.75" customHeight="1">
      <c r="A73" s="73"/>
      <c r="B73" s="73"/>
      <c r="C73" s="73"/>
      <c r="D73" s="73"/>
      <c r="E73" s="73"/>
      <c r="F73" s="73"/>
      <c r="G73" s="73"/>
      <c r="H73" s="73"/>
      <c r="I73" s="73"/>
      <c r="J73" s="73"/>
      <c r="K73" s="73"/>
      <c r="L73" s="73"/>
      <c r="M73" s="73"/>
      <c r="N73" s="73"/>
      <c r="O73" s="73"/>
    </row>
    <row r="74" spans="1:15" ht="15.75" customHeight="1">
      <c r="A74" s="73"/>
      <c r="B74" s="73"/>
      <c r="C74" s="73"/>
      <c r="D74" s="73"/>
      <c r="E74" s="73"/>
      <c r="F74" s="73"/>
      <c r="G74" s="73"/>
      <c r="H74" s="73"/>
      <c r="I74" s="73"/>
      <c r="J74" s="73"/>
      <c r="K74" s="73"/>
      <c r="L74" s="73"/>
      <c r="M74" s="73"/>
      <c r="N74" s="73"/>
      <c r="O74" s="73"/>
    </row>
    <row r="75" spans="1:15" ht="15.75" customHeight="1">
      <c r="A75" s="73"/>
      <c r="B75" s="73"/>
      <c r="C75" s="73"/>
      <c r="D75" s="73"/>
      <c r="E75" s="73"/>
      <c r="F75" s="73"/>
      <c r="G75" s="73"/>
      <c r="H75" s="73"/>
      <c r="I75" s="73"/>
      <c r="J75" s="73"/>
      <c r="K75" s="73"/>
      <c r="L75" s="73"/>
      <c r="M75" s="73"/>
      <c r="N75" s="73"/>
      <c r="O75" s="73"/>
    </row>
    <row r="76" spans="1:15" ht="15.75" customHeight="1">
      <c r="A76" s="73"/>
      <c r="B76" s="73"/>
      <c r="C76" s="73"/>
      <c r="D76" s="73"/>
      <c r="E76" s="73"/>
      <c r="F76" s="73"/>
      <c r="G76" s="73"/>
      <c r="H76" s="73"/>
      <c r="I76" s="73"/>
      <c r="J76" s="73"/>
      <c r="K76" s="73"/>
      <c r="L76" s="73"/>
      <c r="M76" s="73"/>
      <c r="N76" s="73"/>
      <c r="O76" s="73"/>
    </row>
    <row r="77" spans="1:15" ht="15.75" customHeight="1">
      <c r="A77" s="73"/>
      <c r="B77" s="73"/>
      <c r="C77" s="73"/>
      <c r="D77" s="73"/>
      <c r="E77" s="73"/>
      <c r="F77" s="73"/>
      <c r="G77" s="73"/>
      <c r="H77" s="73"/>
      <c r="I77" s="73"/>
      <c r="J77" s="73"/>
      <c r="K77" s="73"/>
      <c r="L77" s="73"/>
      <c r="M77" s="73"/>
      <c r="N77" s="73"/>
      <c r="O77" s="73"/>
    </row>
    <row r="78" spans="1:15" ht="15.75" customHeight="1">
      <c r="A78" s="73"/>
      <c r="B78" s="73"/>
      <c r="C78" s="73"/>
      <c r="D78" s="73"/>
      <c r="E78" s="73"/>
      <c r="F78" s="73"/>
      <c r="G78" s="73"/>
      <c r="H78" s="73"/>
      <c r="I78" s="73"/>
      <c r="J78" s="73"/>
      <c r="K78" s="73"/>
      <c r="L78" s="73"/>
      <c r="M78" s="73"/>
      <c r="N78" s="73"/>
      <c r="O78" s="73"/>
    </row>
    <row r="79" spans="1:15" ht="15.75" customHeight="1">
      <c r="A79" s="73"/>
      <c r="B79" s="73"/>
      <c r="C79" s="73"/>
      <c r="D79" s="73"/>
      <c r="E79" s="73"/>
      <c r="F79" s="73"/>
      <c r="G79" s="73"/>
      <c r="H79" s="73"/>
      <c r="I79" s="73"/>
      <c r="J79" s="73"/>
      <c r="K79" s="73"/>
      <c r="L79" s="73"/>
      <c r="M79" s="73"/>
      <c r="N79" s="73"/>
      <c r="O79" s="73"/>
    </row>
    <row r="80" spans="1:15" ht="15.75" customHeight="1">
      <c r="A80" s="73"/>
      <c r="B80" s="73"/>
      <c r="C80" s="73"/>
      <c r="D80" s="73"/>
      <c r="E80" s="73"/>
      <c r="F80" s="73"/>
      <c r="G80" s="73"/>
      <c r="H80" s="73"/>
      <c r="I80" s="73"/>
      <c r="J80" s="73"/>
      <c r="K80" s="73"/>
      <c r="L80" s="73"/>
      <c r="M80" s="73"/>
      <c r="N80" s="73"/>
      <c r="O80" s="73"/>
    </row>
    <row r="81" spans="1:15" ht="15.75" customHeight="1">
      <c r="A81" s="73"/>
      <c r="B81" s="73"/>
      <c r="C81" s="73"/>
      <c r="D81" s="73"/>
      <c r="E81" s="73"/>
      <c r="F81" s="73"/>
      <c r="G81" s="73"/>
      <c r="H81" s="73"/>
      <c r="I81" s="73"/>
      <c r="J81" s="73"/>
      <c r="K81" s="73"/>
      <c r="L81" s="73"/>
      <c r="M81" s="73"/>
      <c r="N81" s="73"/>
      <c r="O81" s="73"/>
    </row>
    <row r="82" spans="1:15" ht="15.75" customHeight="1">
      <c r="A82" s="73"/>
      <c r="B82" s="73"/>
      <c r="C82" s="73"/>
      <c r="D82" s="73"/>
      <c r="E82" s="73"/>
      <c r="F82" s="73"/>
      <c r="G82" s="73"/>
      <c r="H82" s="73"/>
      <c r="I82" s="73"/>
      <c r="J82" s="73"/>
      <c r="K82" s="73"/>
      <c r="L82" s="73"/>
      <c r="M82" s="73"/>
      <c r="N82" s="73"/>
      <c r="O82" s="73"/>
    </row>
    <row r="83" spans="1:15" ht="15.75" customHeight="1">
      <c r="A83" s="73"/>
      <c r="B83" s="73"/>
      <c r="C83" s="73"/>
      <c r="D83" s="73"/>
      <c r="E83" s="73"/>
      <c r="F83" s="73"/>
      <c r="G83" s="73"/>
      <c r="H83" s="73"/>
      <c r="I83" s="73"/>
      <c r="J83" s="73"/>
      <c r="K83" s="73"/>
      <c r="L83" s="73"/>
      <c r="M83" s="73"/>
      <c r="N83" s="73"/>
      <c r="O83" s="73"/>
    </row>
    <row r="84" spans="1:15" ht="15.75" customHeight="1">
      <c r="A84" s="73"/>
      <c r="B84" s="73"/>
      <c r="C84" s="73"/>
      <c r="D84" s="73"/>
      <c r="E84" s="73"/>
      <c r="F84" s="73"/>
      <c r="G84" s="73"/>
      <c r="H84" s="73"/>
      <c r="I84" s="73"/>
      <c r="J84" s="73"/>
      <c r="K84" s="73"/>
      <c r="L84" s="73"/>
      <c r="M84" s="73"/>
      <c r="N84" s="73"/>
      <c r="O84" s="73"/>
    </row>
  </sheetData>
  <mergeCells count="1">
    <mergeCell ref="A1:O84"/>
  </mergeCell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peakflow_q1_2025_dirty</vt:lpstr>
      <vt:lpstr>Datensätze</vt:lpstr>
      <vt:lpstr>Zusammenfassung</vt:lpstr>
      <vt:lpstr>Pivot-Tabellen</vt:lpstr>
      <vt:lpstr>Top-Performer</vt:lpstr>
      <vt:lpstr>Diagramme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Jesco-Joachim Schnebel</dc:creator>
  <cp:lastModifiedBy>Jesco-Joachim Schnebel</cp:lastModifiedBy>
  <dcterms:created xsi:type="dcterms:W3CDTF">2026-09-21T13:52:02Z</dcterms:created>
  <dcterms:modified xsi:type="dcterms:W3CDTF">2026-09-21T15:46:33Z</dcterms:modified>
</cp:coreProperties>
</file>